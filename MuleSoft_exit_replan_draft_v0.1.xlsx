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mc:AlternateContent xmlns:mc="http://schemas.openxmlformats.org/markup-compatibility/2006">
    <mc:Choice Requires="x15">
      <x15ac:absPath xmlns:x15ac="http://schemas.microsoft.com/office/spreadsheetml/2010/11/ac" url="https://starkworkspace-my.sharepoint.com/personal/ext_sanjay_kumardalmia_starkbuild_co_uk/Documents/"/>
    </mc:Choice>
  </mc:AlternateContent>
  <xr:revisionPtr revIDLastSave="0" documentId="8_{756CEF55-2675-4B1F-80D2-4EFB9861510D}" xr6:coauthVersionLast="47" xr6:coauthVersionMax="47" xr10:uidLastSave="{00000000-0000-0000-0000-000000000000}"/>
  <bookViews>
    <workbookView xWindow="19090" yWindow="-110" windowWidth="38620" windowHeight="21100" xr2:uid="{8D9E21B6-D94E-4323-B872-07A0AEDF39D6}"/>
  </bookViews>
  <sheets>
    <sheet name="MS_exit_replan" sheetId="21" r:id="rId1"/>
    <sheet name="Assumptions" sheetId="20" r:id="rId2"/>
    <sheet name="Risks_&amp;_Issues" sheetId="22" r:id="rId3"/>
    <sheet name="Dependencies" sheetId="23" r:id="rId4"/>
    <sheet name="Resource Plan" sheetId="13" r:id="rId5"/>
    <sheet name="leaves" sheetId="24" r:id="rId6"/>
    <sheet name="Estimates" sheetId="18" r:id="rId7"/>
    <sheet name="Challenges_progress" sheetId="19" r:id="rId8"/>
    <sheet name="Plan &amp; RL" sheetId="6" state="hidden" r:id="rId9"/>
    <sheet name="Plan &amp; RL (2)" sheetId="10" state="hidden" r:id="rId10"/>
  </sheets>
  <definedNames>
    <definedName name="_xlnm._FilterDatabase" localSheetId="3" hidden="1">Dependencies!$B$2:$O$2</definedName>
    <definedName name="_xlnm._FilterDatabase" localSheetId="5" hidden="1">leaves!$B$2:$C$13</definedName>
    <definedName name="_xlnm._FilterDatabase" localSheetId="0" hidden="1">MS_exit_replan!$B$4:$BP$27</definedName>
    <definedName name="_xlnm._FilterDatabase" localSheetId="4" hidden="1">'Resource Plan'!$B$2:$D$16</definedName>
    <definedName name="_xlnm._FilterDatabase" localSheetId="2" hidden="1">'Risks_&amp;_Issues'!$B$2:$P$2</definedName>
    <definedName name="abcd">#REF!</definedName>
    <definedName name="APIClass">#REF!</definedName>
    <definedName name="APIType">#REF!</definedName>
    <definedName name="Backup">#REF!</definedName>
    <definedName name="Backup1">#REF!</definedName>
    <definedName name="cause">#REF!</definedName>
    <definedName name="Comments">#REF!</definedName>
    <definedName name="Complexity_Factor">#REF!</definedName>
    <definedName name="Confidence">#REF!</definedName>
    <definedName name="ExistingNew">#REF!</definedName>
    <definedName name="InputOutput">#REF!</definedName>
    <definedName name="ListData">#REF!</definedName>
    <definedName name="LOB">#REF!</definedName>
    <definedName name="Ltst_TestLog">"'Test log'"</definedName>
    <definedName name="Prefix">#REF!</definedName>
    <definedName name="Reason">#REF!</definedName>
    <definedName name="Sev">#REF!</definedName>
    <definedName name="Severity">#REF!</definedName>
    <definedName name="SOO">#REF!</definedName>
    <definedName name="State_of_Origi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5" i="21" l="1"/>
  <c r="J35" i="21"/>
  <c r="M27" i="21"/>
  <c r="I27" i="21"/>
  <c r="M26" i="21"/>
  <c r="I26" i="21"/>
  <c r="M25" i="21"/>
  <c r="I25" i="21"/>
  <c r="M24" i="21"/>
  <c r="I24" i="21"/>
  <c r="M23" i="21"/>
  <c r="I23" i="21"/>
  <c r="M22" i="21"/>
  <c r="I22" i="21"/>
  <c r="M21" i="21"/>
  <c r="I21" i="21"/>
  <c r="M20" i="21"/>
  <c r="I20" i="21"/>
  <c r="I19" i="21"/>
  <c r="M18" i="21"/>
  <c r="I18" i="21"/>
  <c r="M17" i="21"/>
  <c r="I17" i="21"/>
  <c r="M16" i="21"/>
  <c r="I16" i="21"/>
  <c r="M15" i="21"/>
  <c r="I15" i="21"/>
  <c r="M14" i="21"/>
  <c r="I14" i="21"/>
  <c r="M13" i="21"/>
  <c r="I13" i="21"/>
  <c r="M12" i="21"/>
  <c r="I12" i="21"/>
  <c r="M11" i="21"/>
  <c r="I11" i="21"/>
  <c r="M10" i="21"/>
  <c r="I10" i="21"/>
  <c r="M9" i="21"/>
  <c r="I9" i="21"/>
  <c r="M8" i="21"/>
  <c r="I8" i="21"/>
  <c r="M7" i="21"/>
  <c r="I7" i="21"/>
  <c r="M6" i="21"/>
  <c r="I6" i="21"/>
  <c r="M5" i="21"/>
  <c r="I5" i="21"/>
  <c r="M1" i="6" l="1"/>
  <c r="I54" i="6"/>
  <c r="J54" i="6"/>
  <c r="K54" i="6"/>
  <c r="E42" i="6"/>
  <c r="F42" i="6"/>
  <c r="G42" i="6"/>
  <c r="H42" i="6"/>
  <c r="I42" i="6"/>
  <c r="J42" i="6"/>
  <c r="K42" i="6"/>
  <c r="L42" i="6"/>
  <c r="M42" i="6"/>
  <c r="E43" i="6"/>
  <c r="F43" i="6"/>
  <c r="G43" i="6"/>
  <c r="H43" i="6"/>
  <c r="I43" i="6"/>
  <c r="J43" i="6"/>
  <c r="K43" i="6"/>
  <c r="L43" i="6"/>
  <c r="M43" i="6"/>
  <c r="E44" i="6"/>
  <c r="F44" i="6"/>
  <c r="G44" i="6"/>
  <c r="H44" i="6"/>
  <c r="I44" i="6"/>
  <c r="J44" i="6"/>
  <c r="K44" i="6"/>
  <c r="L44" i="6"/>
  <c r="M44" i="6"/>
  <c r="E45" i="6"/>
  <c r="F45" i="6"/>
  <c r="G45" i="6"/>
  <c r="H45" i="6"/>
  <c r="I45" i="6"/>
  <c r="J45" i="6"/>
  <c r="K45" i="6"/>
  <c r="L45" i="6"/>
  <c r="M45" i="6"/>
  <c r="E46" i="6"/>
  <c r="F46" i="6"/>
  <c r="G46" i="6"/>
  <c r="H46" i="6"/>
  <c r="I46" i="6"/>
  <c r="J46" i="6"/>
  <c r="K46" i="6"/>
  <c r="L46" i="6"/>
  <c r="M46" i="6"/>
  <c r="E47" i="6"/>
  <c r="F47" i="6"/>
  <c r="G47" i="6"/>
  <c r="H47" i="6"/>
  <c r="I47" i="6"/>
  <c r="J47" i="6"/>
  <c r="K47" i="6"/>
  <c r="L47" i="6"/>
  <c r="M47" i="6"/>
  <c r="E48" i="6"/>
  <c r="E54" i="6" s="1"/>
  <c r="F48" i="6"/>
  <c r="F54" i="6" s="1"/>
  <c r="G48" i="6"/>
  <c r="G54" i="6" s="1"/>
  <c r="H48" i="6"/>
  <c r="H54" i="6" s="1"/>
  <c r="I48" i="6"/>
  <c r="J48" i="6"/>
  <c r="K48" i="6"/>
  <c r="L48" i="6"/>
  <c r="L54" i="6" s="1"/>
  <c r="M48" i="6"/>
  <c r="M54" i="6" s="1"/>
  <c r="E49" i="6"/>
  <c r="F49" i="6"/>
  <c r="G49" i="6"/>
  <c r="H49" i="6"/>
  <c r="I49" i="6"/>
  <c r="J49" i="6"/>
  <c r="K49" i="6"/>
  <c r="L49" i="6"/>
  <c r="M49" i="6"/>
  <c r="E50" i="6"/>
  <c r="F50" i="6"/>
  <c r="G50" i="6"/>
  <c r="H50" i="6"/>
  <c r="I50" i="6"/>
  <c r="J50" i="6"/>
  <c r="K50" i="6"/>
  <c r="L50" i="6"/>
  <c r="M50" i="6"/>
  <c r="E51" i="6"/>
  <c r="F51" i="6"/>
  <c r="G51" i="6"/>
  <c r="H51" i="6"/>
  <c r="I51" i="6"/>
  <c r="J51" i="6"/>
  <c r="K51" i="6"/>
  <c r="L51" i="6"/>
  <c r="M51" i="6"/>
  <c r="E52" i="6"/>
  <c r="F52" i="6"/>
  <c r="G52" i="6"/>
  <c r="H52" i="6"/>
  <c r="I52" i="6"/>
  <c r="J52" i="6"/>
  <c r="K52" i="6"/>
  <c r="L52" i="6"/>
  <c r="M52" i="6"/>
  <c r="E53" i="6"/>
  <c r="F53" i="6"/>
  <c r="G53" i="6"/>
  <c r="H53" i="6"/>
  <c r="I53" i="6"/>
  <c r="J53" i="6"/>
  <c r="K53" i="6"/>
  <c r="L53" i="6"/>
  <c r="M53" i="6"/>
  <c r="M41" i="6"/>
  <c r="L41" i="6"/>
  <c r="K41" i="6"/>
  <c r="J41" i="6"/>
  <c r="I41" i="6"/>
  <c r="H41" i="6"/>
  <c r="G41" i="6"/>
  <c r="F41" i="6"/>
  <c r="E41" i="6"/>
  <c r="F35" i="6"/>
  <c r="G35" i="6"/>
  <c r="H35" i="6"/>
  <c r="I35" i="6"/>
  <c r="J35" i="6"/>
  <c r="K35" i="6"/>
  <c r="L35" i="6"/>
  <c r="M35" i="6"/>
  <c r="N35" i="6"/>
  <c r="O35" i="6"/>
  <c r="P35" i="6"/>
  <c r="Q35" i="6"/>
  <c r="R35" i="6"/>
  <c r="S35" i="6"/>
  <c r="T35" i="6"/>
  <c r="U35" i="6"/>
  <c r="V35" i="6"/>
  <c r="W35" i="6"/>
  <c r="X35" i="6"/>
  <c r="Y35" i="6"/>
  <c r="Z35" i="6"/>
  <c r="AA35" i="6"/>
  <c r="AB35" i="6"/>
  <c r="AC35" i="6"/>
  <c r="AD35" i="6"/>
  <c r="AE35" i="6"/>
  <c r="AF35" i="6"/>
  <c r="AG35" i="6"/>
  <c r="AH35" i="6"/>
  <c r="AI35" i="6"/>
  <c r="AJ35" i="6"/>
  <c r="AK35" i="6"/>
  <c r="AL35" i="6"/>
  <c r="AM35" i="6"/>
  <c r="AN35" i="6"/>
  <c r="AO35" i="6"/>
  <c r="AP35" i="6"/>
  <c r="AQ35" i="6"/>
  <c r="AR35" i="6"/>
  <c r="T44" i="10"/>
  <c r="S44" i="10"/>
  <c r="R44" i="10"/>
  <c r="Q44" i="10"/>
  <c r="P44" i="10"/>
  <c r="O44" i="10"/>
  <c r="N44" i="10"/>
  <c r="M44" i="10"/>
  <c r="L44" i="10"/>
  <c r="K44" i="10"/>
  <c r="J44" i="10"/>
  <c r="I44" i="10"/>
  <c r="E44" i="10"/>
  <c r="V43" i="10"/>
  <c r="V42" i="10"/>
  <c r="V41" i="10"/>
  <c r="V40" i="10"/>
  <c r="V39" i="10"/>
  <c r="V38" i="10"/>
  <c r="V37" i="10"/>
  <c r="V36" i="10"/>
  <c r="V35" i="10"/>
  <c r="V34" i="10"/>
  <c r="V33" i="10"/>
  <c r="V32" i="10"/>
  <c r="V31" i="10"/>
  <c r="V44" i="10" s="1"/>
  <c r="V46" i="10" s="1"/>
  <c r="N54" i="6" l="1"/>
  <c r="E35" i="6" l="1"/>
  <c r="R10" i="6" l="1"/>
  <c r="W14" i="6" l="1"/>
  <c r="R11" i="6"/>
  <c r="P9" i="6"/>
  <c r="M8" i="6" l="1"/>
  <c r="U12" i="6"/>
  <c r="G6" i="6" l="1"/>
  <c r="E5" i="6"/>
</calcChain>
</file>

<file path=xl/sharedStrings.xml><?xml version="1.0" encoding="utf-8"?>
<sst xmlns="http://schemas.openxmlformats.org/spreadsheetml/2006/main" count="1715" uniqueCount="496">
  <si>
    <t>No. of Interface/Service Drops to QA per week</t>
  </si>
  <si>
    <t>W1 - x</t>
  </si>
  <si>
    <t>W2 - x</t>
  </si>
  <si>
    <t>W3 - x</t>
  </si>
  <si>
    <t>W4 - x</t>
  </si>
  <si>
    <t>W5 - x</t>
  </si>
  <si>
    <t>W6 - x</t>
  </si>
  <si>
    <t>W7 - x</t>
  </si>
  <si>
    <t>W8 - x</t>
  </si>
  <si>
    <t>W9 - x</t>
  </si>
  <si>
    <t>W10 - x</t>
  </si>
  <si>
    <t>W11 - x</t>
  </si>
  <si>
    <t>W12 - x</t>
  </si>
  <si>
    <t>W13 - x</t>
  </si>
  <si>
    <t>W14 - x</t>
  </si>
  <si>
    <t>W15 - x</t>
  </si>
  <si>
    <t>W16 - x</t>
  </si>
  <si>
    <t>Phase 2 (MuleSoft exit) Replan</t>
  </si>
  <si>
    <t>M</t>
  </si>
  <si>
    <t>T</t>
  </si>
  <si>
    <t>W</t>
  </si>
  <si>
    <t>F</t>
  </si>
  <si>
    <t>Sl</t>
  </si>
  <si>
    <t>Interface/Service</t>
  </si>
  <si>
    <t>Pr</t>
  </si>
  <si>
    <t>Disc
(D)</t>
  </si>
  <si>
    <t>HLD
(H)</t>
  </si>
  <si>
    <t>LLD
(L)</t>
  </si>
  <si>
    <t>CUT
[C]</t>
  </si>
  <si>
    <t>Contg.
(B1)</t>
  </si>
  <si>
    <t>QA
(Q)</t>
  </si>
  <si>
    <t>PA
(A)</t>
  </si>
  <si>
    <t>UAT
(U)</t>
  </si>
  <si>
    <t>Contg.
(B2)</t>
  </si>
  <si>
    <t>Prod
(P)</t>
  </si>
  <si>
    <t>Dev
Resource</t>
  </si>
  <si>
    <t>QA
Resource</t>
  </si>
  <si>
    <t>PA
Resource</t>
  </si>
  <si>
    <t>UAT
Resource</t>
  </si>
  <si>
    <t>MUL-FLEETWAVE-ICON-COGNITO (Ph1)</t>
  </si>
  <si>
    <t>NA</t>
  </si>
  <si>
    <t>Tom Wells</t>
  </si>
  <si>
    <t>U</t>
  </si>
  <si>
    <t>P</t>
  </si>
  <si>
    <t>B</t>
  </si>
  <si>
    <t>MUL-TIMBERSUPPLIERS (Ph1)</t>
  </si>
  <si>
    <t>Olu, Richard Ainley</t>
  </si>
  <si>
    <t>MUL-BRANCHFINDER</t>
  </si>
  <si>
    <t>?</t>
  </si>
  <si>
    <t>Lamaan</t>
  </si>
  <si>
    <t>Harine</t>
  </si>
  <si>
    <t>Sreenath</t>
  </si>
  <si>
    <t>JH, Chris Hall, Tom Wells</t>
  </si>
  <si>
    <t>A</t>
  </si>
  <si>
    <t>MUL-CUSTORDERVALIDATION</t>
  </si>
  <si>
    <t>Shakeel</t>
  </si>
  <si>
    <t>JH/Damien H, Chris Hall</t>
  </si>
  <si>
    <t>D</t>
  </si>
  <si>
    <t>C</t>
  </si>
  <si>
    <t>Q</t>
  </si>
  <si>
    <t>MUL-FTP-DOWNLOADS</t>
  </si>
  <si>
    <t>Swetha</t>
  </si>
  <si>
    <t>John Padget, Damine H</t>
  </si>
  <si>
    <t>MUL-OPCARDS</t>
  </si>
  <si>
    <t>Jon Padget, Tristan L</t>
  </si>
  <si>
    <t>L</t>
  </si>
  <si>
    <t>MUL-DIGITALASSET</t>
  </si>
  <si>
    <t>Tommy McGrath</t>
  </si>
  <si>
    <t>H</t>
  </si>
  <si>
    <t>MUL-CONSOLIDATEDINVOICE</t>
  </si>
  <si>
    <t>Robert</t>
  </si>
  <si>
    <t>Olu</t>
  </si>
  <si>
    <t>MUL-CONSXREF</t>
  </si>
  <si>
    <t>MUL-CONCUR</t>
  </si>
  <si>
    <t>Damien Hudson</t>
  </si>
  <si>
    <t>MUL-SALES-PIPELINE</t>
  </si>
  <si>
    <t>ERP/Harine</t>
  </si>
  <si>
    <t>Olu, Chris Hall</t>
  </si>
  <si>
    <t>MUL-SMS-RELAY</t>
  </si>
  <si>
    <t>11a</t>
  </si>
  <si>
    <t>MUL-INVENTORYAUTOMATION (Relex-Icon)</t>
  </si>
  <si>
    <t>Denys</t>
  </si>
  <si>
    <t>Katie James</t>
  </si>
  <si>
    <t>MUL-PRODUCT-FEED</t>
  </si>
  <si>
    <t>Hyb/Swetha</t>
  </si>
  <si>
    <t>Tommy McGrath, Olu, Tristan L</t>
  </si>
  <si>
    <t>11b</t>
  </si>
  <si>
    <t>MUL-INVENTORYAUTOMATION (Icon-Relex)</t>
  </si>
  <si>
    <t>Raju</t>
  </si>
  <si>
    <t>MUL-ICONACCOUNTS</t>
  </si>
  <si>
    <t>Tristan Leverett</t>
  </si>
  <si>
    <t>MUL-COLUMBUS-DOC-HYBRIS</t>
  </si>
  <si>
    <t>Damien H, Tommy M, Tristan L</t>
  </si>
  <si>
    <t>MUL-PUNCHOUT</t>
  </si>
  <si>
    <t>Tristan L, Olu</t>
  </si>
  <si>
    <t>MUL-REDFLAG</t>
  </si>
  <si>
    <t>Arun</t>
  </si>
  <si>
    <t>Tristan L, Damien Hudson</t>
  </si>
  <si>
    <t>MUL-PRODUCTS</t>
  </si>
  <si>
    <t>Tristan L, Tommy McGrath, Olu</t>
  </si>
  <si>
    <t>MUL-SALESORDERS</t>
  </si>
  <si>
    <t>Tristan Leverett, Katie James</t>
  </si>
  <si>
    <t>MUL-PRODUCT-CLASSIFICATION</t>
  </si>
  <si>
    <t>MUL-INBOUND-QUOTES</t>
  </si>
  <si>
    <t>MUL-ACCOUNT-VALIDATION (undeployed)</t>
  </si>
  <si>
    <t>MUL-OKTA-SYNC (to check with Tristan)</t>
  </si>
  <si>
    <t>MUL-CONSENT (out of scope)</t>
  </si>
  <si>
    <t>MUL-TRIPDATA (out of scope)</t>
  </si>
  <si>
    <t>MUL-SWIFT6-TRANSPORT (out of scope)</t>
  </si>
  <si>
    <t>MUL-VANSTOCK-PURCHASEORDER (out of scope)</t>
  </si>
  <si>
    <t>MUL-COLUMBUS-DOCUMENTS (Phase-1/No. 7)</t>
  </si>
  <si>
    <t>Initial Assumptions</t>
  </si>
  <si>
    <t>Not clear on estimation and UAT tester names and estimates</t>
  </si>
  <si>
    <t>Depicted efforts for UAT testing are giuesstimates and variable depending on tester input</t>
  </si>
  <si>
    <t>Team (Seb and Puneet) yet to talk to the consumers of integrations - need to give them headway on moving from Mule to Azure and secure cofnirmation</t>
  </si>
  <si>
    <t>Shakeel is not 100% as developer and priority will be BAU work as it comes, leading to occassional delays in his share of work</t>
  </si>
  <si>
    <t>For items 7-9  (ConsolidatedService, Conxref, Concur)- we do not know which db to be used as yet- Rob, Lamaan and Shakeel to help out until which we cannot deploy and QA cannot start testing, given a week for this activity to begin with</t>
  </si>
  <si>
    <t>Need to ensure impediments like access permissions are actioned in definite timeframe to avoid delays</t>
  </si>
  <si>
    <t>Dependency Management - All dependencies arising are resolved in quick time within the respective RDCUT phase thus enabling uninterrupted progress, failing which the interface/service will be subject to a replan and right shift of the plan</t>
  </si>
  <si>
    <t>Infrastructure - Database access, End point configuration, Server credentials etc are provided on time enabling smooth execution, failing which any delay might lead to interface/service replan</t>
  </si>
  <si>
    <t>Requirements - frozen and signed off prior to start of Design phase</t>
  </si>
  <si>
    <t>Deisgn - reviewed and signed off prior to CUT start</t>
  </si>
  <si>
    <t>Assumed dedicated time from developers to work on MuleSoft exit related integrations/services</t>
  </si>
  <si>
    <t>All durations depicted are approximate and are WAG based, may differ on case to case basis as more details or roadblocks are uncovered in Discovery, HLD, LLD or CUT phases</t>
  </si>
  <si>
    <t>MUL-ACCOUNT-VALIDATION - Seb to check with Tristan and get back</t>
  </si>
  <si>
    <t>MUL-OKTA-SYNC - Seb to check with Tristan and get back</t>
  </si>
  <si>
    <t>MUL-CONSENT - Emma confirmed to be not in scope</t>
  </si>
  <si>
    <t>MUL-TRIPDATA - James Allertonconfirmed over email</t>
  </si>
  <si>
    <t>MUL-SWIFT6-TRANSPORT - James Allertonconfirmed over email</t>
  </si>
  <si>
    <t>MUL-VANSTOCK-PURCHASEORDER - Kristian Bates confirmed via email that this is not in use</t>
  </si>
  <si>
    <t>MUL-COLUMBUS-DOCUMENTS  - Partly covered in Phase-1 and partly covered in MUL-CONSOLIDATEDINVOICE</t>
  </si>
  <si>
    <t>Type</t>
  </si>
  <si>
    <t>Item Title</t>
  </si>
  <si>
    <t>Description</t>
  </si>
  <si>
    <t>Date Raised</t>
  </si>
  <si>
    <t>Owner</t>
  </si>
  <si>
    <t>Impact</t>
  </si>
  <si>
    <t>Progress Remarks / Next steps / Mitigations</t>
  </si>
  <si>
    <t>Status</t>
  </si>
  <si>
    <t>RAG</t>
  </si>
  <si>
    <t>Date Resolved</t>
  </si>
  <si>
    <t>#Days to resolve</t>
  </si>
  <si>
    <t>Resolution</t>
  </si>
  <si>
    <t>Risk</t>
  </si>
  <si>
    <t>Effort overrun due to unknowns</t>
  </si>
  <si>
    <t xml:space="preserve">Team will get into Discover and Design phaees (wherever applicable) and during that phase team will determine if the 'WAG' based effort etimated and allocated is sufficient - so there is a possibility that the plan has to shift right to accommodate the new discover/learning </t>
  </si>
  <si>
    <t>PMO</t>
  </si>
  <si>
    <t>Mid-High</t>
  </si>
  <si>
    <t>This is an ongoing risk built into the project replan and is  discussed and understood by all stakeholders</t>
  </si>
  <si>
    <t>Ongoing</t>
  </si>
  <si>
    <t>Resolved</t>
  </si>
  <si>
    <t>Additional effort for 
MUL-CUSTORDERVALIDATION</t>
  </si>
  <si>
    <t>During Discover Shakeel has identified 2 additional days for development effort required</t>
  </si>
  <si>
    <t>Low</t>
  </si>
  <si>
    <t>This was discussed with Seb and team in daily call and approved, so plan is moved right by 2 days for Shakeel's activities</t>
  </si>
  <si>
    <t>Closed</t>
  </si>
  <si>
    <t>Issue</t>
  </si>
  <si>
    <t>IP whitelisting delays for 
MUL-INVENTORYAUTOMATION (Relex-Icon)</t>
  </si>
  <si>
    <t>IP whitelisting issue identified, lead time to resolve identified. 
Relex support team to action the whitelisting request</t>
  </si>
  <si>
    <t>Med</t>
  </si>
  <si>
    <r>
      <t xml:space="preserve">Have brought to the attention of Marc and James, emails have been exchanged, Katie James helping resolve - actively working to resolve this asap.
James has tried to reach out to Katie to epedite - in pursuit. 
Await response from Relex support team
</t>
    </r>
    <r>
      <rPr>
        <sz val="11"/>
        <color rgb="FFFF0000"/>
        <rFont val="Aptos Narrow"/>
        <family val="2"/>
        <scheme val="minor"/>
      </rPr>
      <t>Denys is bloked from proceeding till this is reoslved</t>
    </r>
  </si>
  <si>
    <t>Open</t>
  </si>
  <si>
    <t>Access to Retarus sandbox 
MUL-INVENTORYAUTOMATION (Relex-Icon)</t>
  </si>
  <si>
    <t>Access to Retarus sandbox flagged as an issue by Denys.</t>
  </si>
  <si>
    <t>High</t>
  </si>
  <si>
    <t>In discussion with Andy/Chad – Chad working on resolving early next week.
Seb confirmed Azure CS to be used. 
Denys has reported loss of productive time for 3 days continuously now.To review effort based on contingency already added
Denys to send email requesting credentials.
Victor (from Chad's team) to help Denys with this on Tue: 22-Sep
Victor has provided the credentials to denys over teams</t>
  </si>
  <si>
    <t>.Net 8 end of support</t>
  </si>
  <si>
    <t>.NET 8 reaches end of support on November 10, 2026, we should start planning the upgrade of the software we have developed, including the AIS services underpinning the Strategic API and the MuleSoft integrations replacements, to ensure they remain on a supported platform</t>
  </si>
  <si>
    <t>Seb</t>
  </si>
  <si>
    <t>Chad helping with this - Victor to check if it  would be possible to make the .NET 10 SDK and Visual Studio 2026 available in the Company Portal for the developers listed below, so that they can install them on their development machines</t>
  </si>
  <si>
    <t>Switching on of new MuleSoft services in Prod</t>
  </si>
  <si>
    <t>Prod deployment of new serices will not follow automatic switching on of the services, but kept on hold until BAU team is established to take over posy prod activities</t>
  </si>
  <si>
    <t>Emma</t>
  </si>
  <si>
    <t>Med-High</t>
  </si>
  <si>
    <t>Each track to be be assessed during CAB for appropriate rollback and switch on a case to case basis</t>
  </si>
  <si>
    <t>Dependency On</t>
  </si>
  <si>
    <t>Remarks</t>
  </si>
  <si>
    <t>Date Required</t>
  </si>
  <si>
    <t>Resource</t>
  </si>
  <si>
    <t>Responsibility</t>
  </si>
  <si>
    <t>Sebastiano</t>
  </si>
  <si>
    <t>Lead Architect</t>
  </si>
  <si>
    <t>Genesh</t>
  </si>
  <si>
    <t>Architect</t>
  </si>
  <si>
    <t>Pankaj</t>
  </si>
  <si>
    <t>Analyst</t>
  </si>
  <si>
    <t>Developer</t>
  </si>
  <si>
    <t>QA</t>
  </si>
  <si>
    <t>PA</t>
  </si>
  <si>
    <t>App Support</t>
  </si>
  <si>
    <t>Gerda</t>
  </si>
  <si>
    <t>DE</t>
  </si>
  <si>
    <t>Resource/
Date</t>
  </si>
  <si>
    <t>Loc</t>
  </si>
  <si>
    <t>UK</t>
  </si>
  <si>
    <t>Puneet</t>
  </si>
  <si>
    <t>Sanjay</t>
  </si>
  <si>
    <t>Ind</t>
  </si>
  <si>
    <t>Holiday</t>
  </si>
  <si>
    <t>Planned Leave</t>
  </si>
  <si>
    <t xml:space="preserve">Unplanned </t>
  </si>
  <si>
    <t>Present</t>
  </si>
  <si>
    <t>Integration</t>
  </si>
  <si>
    <t>Dev</t>
  </si>
  <si>
    <t>Documentation</t>
  </si>
  <si>
    <t>Integration type</t>
  </si>
  <si>
    <t>Classification</t>
  </si>
  <si>
    <t>Consumer</t>
  </si>
  <si>
    <t>Inspection</t>
  </si>
  <si>
    <t>Path to completion</t>
  </si>
  <si>
    <t>How to test</t>
  </si>
  <si>
    <t>WAG</t>
  </si>
  <si>
    <t>Confidence</t>
  </si>
  <si>
    <t>Test scripts used in the past</t>
  </si>
  <si>
    <t>Discovery</t>
  </si>
  <si>
    <t>HLD</t>
  </si>
  <si>
    <t>LLD</t>
  </si>
  <si>
    <t>UAT</t>
  </si>
  <si>
    <t>Prod</t>
  </si>
  <si>
    <t>DEV</t>
  </si>
  <si>
    <t>PROD</t>
  </si>
  <si>
    <t>QA/UAT (Person of interest)</t>
  </si>
  <si>
    <t>Level</t>
  </si>
  <si>
    <t>Reason</t>
  </si>
  <si>
    <t>MUL-FLEETWAVE-ICON-COGNITO</t>
  </si>
  <si>
    <t>https://starkuk.atlassian.net/wiki/spaces/INTEGRATIO/pages/3449487364/Transport+-+HLD
https://starkuk.atlassian.net/wiki/spaces/INTEGRATIO/pages/2847997998/transport-papi</t>
  </si>
  <si>
    <t>GREEN</t>
  </si>
  <si>
    <t>Vehicles and Drivers from Fleetwave to ICON and Cognito.</t>
  </si>
  <si>
    <t>N/A</t>
  </si>
  <si>
    <t>Verify</t>
  </si>
  <si>
    <t>Completed</t>
  </si>
  <si>
    <t>Pending</t>
  </si>
  <si>
    <t>Pushing files to Cognito via API call.</t>
  </si>
  <si>
    <t>- UAT: Olu is helping with the files, and John Holmes will take care of UAT,
- PROD: disable Mulesoft integration and enable Azure service</t>
  </si>
  <si>
    <t>Preparation for CAB: 1 day</t>
  </si>
  <si>
    <t>Tom Wells??</t>
  </si>
  <si>
    <t>HIGH</t>
  </si>
  <si>
    <t>Depending on UAT results.</t>
  </si>
  <si>
    <t>MUL-TIMBERSUPPLIERS</t>
  </si>
  <si>
    <t>https://starkuk.atlassian.net/wiki/spaces/INTEGRATIO/pages/3091431496/Timber+Supplier+DeliveryMessageWood+XML
https://starkuk.atlassian.net/wiki/spaces/INTEGRATIO/pages/3091333217/timber-papi</t>
  </si>
  <si>
    <t>Shipment notifications from supplier for international timber shipments, Timber PO from ICON to Kite (felix).</t>
  </si>
  <si>
    <t>There are two SFTP sources: AKZ and Sodra. Sodra SFTP connection only works in test environment but not in production (both Mulesoft and Azure).</t>
  </si>
  <si>
    <t>- UAT: Olu is helping with the files, and John Holmes will take care of UAT,
- PROD: Fix Sodra connectivity issue, disable Mulesoft integration and enable Azure service</t>
  </si>
  <si>
    <t>Fix issue in production: unknown, preparation for CAB: 1 days</t>
  </si>
  <si>
    <t>??</t>
  </si>
  <si>
    <t>Depending on UAT results and PROD fixes.</t>
  </si>
  <si>
    <t>https://starkuk.atlassian.net/wiki/spaces/INTEGRATIO/pages/3197468758/Branch+Finder</t>
  </si>
  <si>
    <t>ICON to Branch Directory services</t>
  </si>
  <si>
    <t>ICON</t>
  </si>
  <si>
    <t>Done</t>
  </si>
  <si>
    <t>Not done</t>
  </si>
  <si>
    <t>Allow ICON to find the branches close to a specific postcode.</t>
  </si>
  <si>
    <t>Follow standard process.</t>
  </si>
  <si>
    <t>John Holmes, Chris Hole</t>
  </si>
  <si>
    <t>MID</t>
  </si>
  <si>
    <t>May return different data as we use a different location provider.</t>
  </si>
  <si>
    <t>https://starkuk.atlassian.net/wiki/spaces/INTEGRATIO/pages/3197140994/Integration+To+Middleware+3.0+Platform+-+HLD
https://starkuk.atlassian.net/wiki/spaces/INTEGRATIO/pages/3196780656/Middleware+v3+LLDs</t>
  </si>
  <si>
    <t>Lift-and-shift of existing service</t>
  </si>
  <si>
    <t>Customer Order Validation Middleware Integration for ICON.</t>
  </si>
  <si>
    <t>Deployed</t>
  </si>
  <si>
    <t>Two endpoints that ICON can use to validate orders have already been deployed within the private VNET in a component that acts as relay to the TAS (OVM API) and provides SOAP-REST and REST-SOAP conversion capabilities, as well as M2M authorization.</t>
  </si>
  <si>
    <t>- Integration with ICON (repointing)
- Test the soap-to-rest and rest-to-soap conversion by validating some orders (E2E)
- Check if the new landing zone has a different IP address and if so white list it with COV customers (CRITICAL but we only have 2/3 COV customers)
- We also need to white list also the test environment
- For testing we will need to choose a branch so we can re-point ICON to use AIS rather than Mulesoft
- To progress to production will need to be investigated as the OVM URL is a per branch setting.</t>
  </si>
  <si>
    <t>E2E order validation by choosing a branch and white list the test environment IP with the COV customers.</t>
  </si>
  <si>
    <t>- repoint one customer: &lt;1 day
- whitelisting: 2 days (but is on the customer side)
- actual test execution: ? (we need to speak with John Holmes).</t>
  </si>
  <si>
    <t>All branches will need to be updated, we need to investigate how (ask John Holmes/Chris Hall), preparation for CAB: 1day.</t>
  </si>
  <si>
    <t>Icon: John Holmes, Damien Hudson. Code/hosting: Shakeel Ahmed</t>
  </si>
  <si>
    <t>This is part of the middleware. The middleware was lifted and shifted from the legacy landing zone to the new Azure integration one and remapped into the TAS. There were no changes to the middleware logic, therefore the risk lies in the soap-to-rest and rest-to-soap conversion handled by the relay component deployed in the private VNET.</t>
  </si>
  <si>
    <t>Robert Perry</t>
  </si>
  <si>
    <t>https://starkuk.atlassian.net/wiki/spaces/INTEGRATIO/pages/3177119755/columbus-document-papi+-+CH#HX-to-Columbus
https://starkuk.atlassian.net/wiki/spaces/INTEGRATIO/pages/3081764868/customer-document-papi#HX-to-Columbus-.con.xml-File-Processing
https://starkuk.atlassian.net/wiki/spaces/INTEGRATIO/pages/1313210568/invoice-papi
https://starkuk.atlassian.net/wiki/spaces/INTEGRATIO/pages/3138781737/Consolidated+Invoices+-+HX+to+Salesforce+Integration+-+V2
https://starkuk.atlassian.net/wiki/spaces/INTEGRATIO/pages/3081764868/customer-document-papi#HX-to-Salesforce-Invoice-processing</t>
  </si>
  <si>
    <t>Time triggered</t>
  </si>
  <si>
    <t>HX consolidated invoices to Columbus and Salesforce.</t>
  </si>
  <si>
    <t>Consolidated invoices to Columbus has been already covered by an existing file transfer integration in PH1.
Consolidated invoices to Salesforce involves pushing the CON files into Salesforce via API and update consolidated invoice number and date.</t>
  </si>
  <si>
    <t>Progress through the environments</t>
  </si>
  <si>
    <t>QA: test each function by using a test file and check all edge cases.
UAT: parallel testing (Load the “same file” using Mulesoft and then Azure and compare the results in Salesforce and the Excel file).</t>
  </si>
  <si>
    <t>1 day, but we will need a product owner to participate/approve</t>
  </si>
  <si>
    <t>Preparation for CAB: 1-2 days</t>
  </si>
  <si>
    <t>MID/HIGH</t>
  </si>
  <si>
    <t>The process is understood and development has been completed. Testing may require additional effort.</t>
  </si>
  <si>
    <t>https://starkuk.atlassian.net/wiki/spaces/INTEGRATIO/pages/5042044929/DRAFT+-+Trade+Account+Service</t>
  </si>
  <si>
    <t>Order validation</t>
  </si>
  <si>
    <t>Downloads the data files used for order validation.</t>
  </si>
  <si>
    <t>- whitelisting: 5 or more days (but is on the customer side)</t>
  </si>
  <si>
    <t>John Padget/Damien</t>
  </si>
  <si>
    <t>Lifted and shifted.</t>
  </si>
  <si>
    <t>https://starkuk.atlassian.net/wiki/spaces/INTEGRATIO/pages/1323075177/sfdc-invoice-etl
https://starkuk.atlassian.net/wiki/spaces/INTEGRATIO/pages/2830008325/sfdc-invoice-papi</t>
  </si>
  <si>
    <t>Salesforce to Phocas and Data Lake consolidated sales.</t>
  </si>
  <si>
    <t>In-progress</t>
  </si>
  <si>
    <t>It pulls data from Salesforce and convert it in a csv file that is shipped to Phocas and Datalake (azure blob storage). It can be tested independently from MUL-CONSOLIDATEDINVOICE.</t>
  </si>
  <si>
    <t>QA and UAT: parallel testing: point MUL-CONSXREF to production and produce the file. Compare with the file produced in production by Mulesoft.</t>
  </si>
  <si>
    <t>Simple file production based on understood data.</t>
  </si>
  <si>
    <t>MUL-INVENTORYAUTOMATION</t>
  </si>
  <si>
    <t>https://starkuk.atlassian.net/wiki/spaces/INTEGRATIO/pages/2620391484/Relex+proposed+purchase+order+v2+-+HLD
https://starkuk.atlassian.net/wiki/spaces/INTEGRATIO/pages/2902425670/relex-sapi-v2
https://starkuk.atlassian.net/wiki/spaces/INTEGRATIO/pages/2189558630/po-proposal-papi
https://starkuk.atlassian.net/wiki/spaces/INTEGRATIO/pages/2652143645/po-proposal-papi+-+Azure+to+ICON</t>
  </si>
  <si>
    <t>AMBER</t>
  </si>
  <si>
    <t>Relex and Datalake PO Proposals to ICON.</t>
  </si>
  <si>
    <t>Relex-to-ICON: completed
ICON-to-Relex: not started</t>
  </si>
  <si>
    <t>This integration is composed of two parts:
-	Load proposed purchase order from Relex into ICON. This operation requires control of the pressure to the downstream system (ICON) and must implemtn parallelism to improve proformance.
-	File transfer of balances, products, invtr, open_sales, open_po files from ICON to Relex + email send for confirmation and/or failure to support.</t>
  </si>
  <si>
    <t>- DEV: complete ICON-to-Relex + add capability to send email on success to Synapse pipeline
- QA: must verify if the ICON endpoint for purchase order already exists
- UAT
- PROD: must verify if the ICON endpoint for purchase order already exists</t>
  </si>
  <si>
    <t xml:space="preserve">Either we already have a regression pack or we can build an ICON surrogate that can be used to record the activity from both Mulesoft and Azure implementation. </t>
  </si>
  <si>
    <t>MID/LOW</t>
  </si>
  <si>
    <t>The relex-to-ICON part of the integration is complex and also challenging to test.</t>
  </si>
  <si>
    <t>Stories and Test Cases - relex-sapi - ITAX-2727 - Integration Team - Confluence</t>
  </si>
  <si>
    <t>https://starkuk.atlassian.net/wiki/spaces/INTEGRATIO/pages/2805170317/ICON+Accounts+Credit+Limit+and+Account+Payment+Hybris-ICON+Integration+-+HLD
https://starkuk.atlassian.net/wiki/spaces/INTEGRATIO/pages/1784776251/account-eapi</t>
  </si>
  <si>
    <t>Direct/synchronous</t>
  </si>
  <si>
    <t>Mule4 - ICON account data including credit limits and account-payments</t>
  </si>
  <si>
    <t>SAPCC</t>
  </si>
  <si>
    <t>Need some more to determine if we have all fields we need from Data lake</t>
  </si>
  <si>
    <t>Need to add endpoints to the LLD</t>
  </si>
  <si>
    <t>Should be completed, but need to check if we  have all the data from DL that we need. If not it will need to be repeated</t>
  </si>
  <si>
    <t>In Mulesoft it retrieves the information about account details and credit limit from ICON. In new implementation this information is retrieved from the database.</t>
  </si>
  <si>
    <t xml:space="preserve">QA: use postman to call existing Mulesoft endpoints and compare results with same done on legacy endpoints.
UAT: repoint and use SAPCC to get account and credit limit. </t>
  </si>
  <si>
    <t>Tommy McGrath, Olu</t>
  </si>
  <si>
    <t>We have missing fields from DL and GetPaid. This creates two dependencies with possible delays.</t>
  </si>
  <si>
    <t>Web management of operative cards.</t>
  </si>
  <si>
    <t>Additional work needed to determine if backward compatibility is needed</t>
  </si>
  <si>
    <t>Review in lue of discovery</t>
  </si>
  <si>
    <t>There are few endpoints in the Middleware that are appearing under the TAS. The interface compatibility needs to be verified as right now SAPCC calls Mulesoft that calls these endpoints, but in the legacy landing zone.</t>
  </si>
  <si>
    <t>- Integration with SAPCC (repointing + IDP) (KPS or Stark’s support team)
- Potentially development of legacy endpoints in case of interface incompatibility</t>
  </si>
  <si>
    <t>Need to speak to John Padget/support team to find out how to properly UAT. Effort is low in case of interface compatibility.</t>
  </si>
  <si>
    <t>Repoint SAPCC: &lt;1 day, test effort: unknown but reasonable should be in the ballpark of 2-3 days.</t>
  </si>
  <si>
    <t>Repoint SAPCC: &lt;1 day, preparation for CAB: 1day</t>
  </si>
  <si>
    <t>Tommy McGrath, Jon Padget</t>
  </si>
  <si>
    <t>This is part of the middleware. The middleware was lifted and shifted from the legacy landing zone to the new Azure integration one and remapped into the TAS. The risk lies in the possible incompatibility between SAPCC and the native middleware endpoints in the TAS. If there is compatibility, then there will be no need of further development. If there is no compatibility then we will need to develop legacy endpoints to implement compatibility.</t>
  </si>
  <si>
    <t>ERP QA</t>
  </si>
  <si>
    <t>https://starkuk.atlassian.net/wiki/spaces/INTEGRATIO/pages/2651619573/Sales+pipeline+management+-+HLD
https://starkuk.atlassian.net/wiki/spaces/INTEGRATIO/pages/2651357547/sales-papi+Renamed+as+quote-papi</t>
  </si>
  <si>
    <t>Mule4 - Sales Pipeline between ICON and Salesforce</t>
  </si>
  <si>
    <t>Not started</t>
  </si>
  <si>
    <t>Pull quotes from ICON, using repgens, and push them into Salesforce. It uses a proprietary Salesforce connector. Mapping to SF objects may be tricky.</t>
  </si>
  <si>
    <t>New integration should source the data from ICON prod and push quotes into Salesforce test. Compare Salesforce prod (driven by Mulesoft) with Saleforce test (driven by the new integration). Alternative, use Salesforce surrogate.</t>
  </si>
  <si>
    <t>Olu / ICON: Chris Hall QA team</t>
  </si>
  <si>
    <t>Process is understood, we do not expect to find unexpected issues.</t>
  </si>
  <si>
    <t>https://starkuk.atlassian.net/wiki/spaces/INTEGRATIO/pages/1951006896/Quotes+API+-+HLD</t>
  </si>
  <si>
    <t>Direct/asynchronous</t>
  </si>
  <si>
    <t>AMBER/GREEN</t>
  </si>
  <si>
    <t>Mule4 - Inbound sales quotes for ICON</t>
  </si>
  <si>
    <t>PROJECT-ESTIMATOR, SAPCC?</t>
  </si>
  <si>
    <t>We have 2 options: 1) if there is interface compatibility (with the one we have in the sales order service) there is nothing to do, 2) if there is no inteface compatibility we will need two backward compatible endpoints. We will then do proper CDM and endpoint at later stage. We can re-use most of what has been already done for orders but quotes do not need updates. Also, retrieving existing quotes will be limited to the quotes created via the SOS. But we may make use of MUL-SALES-PIPELINE and store the quotes in the database so that we can also access the ones placed directly in ICON.</t>
  </si>
  <si>
    <t>Place same quotes with Mulesoft and with new integration and compare them.</t>
  </si>
  <si>
    <t>ICON: Chris Hall QA team</t>
  </si>
  <si>
    <t>Testing side may be challenging as there may be multiple consumers.</t>
  </si>
  <si>
    <t>https://starkuk.atlassian.net/wiki/spaces/INTEGRATIO/pages/1727135987/Columbus+Documents+APIs</t>
  </si>
  <si>
    <t>API Customer document retrieval from Columbus for SAPCC/Hybris and Salesforce.</t>
  </si>
  <si>
    <t>SAPCC/SALESFORCE</t>
  </si>
  <si>
    <t>Two pass-through endpoints from SAPCC to Columbus.</t>
  </si>
  <si>
    <t>- DEV: wire up legacy endpoints to existing Columbus document retrieval implementation in TAS.
- QA: use postman to call existing Mulesoft endpoints and compare results with same done on legacy endpoints.
- UAT: repoint SAPCC and run regression pack
- PROD: repoint SAPCC</t>
  </si>
  <si>
    <t xml:space="preserve">QA: use postman to call existing Mulesoft endpoints and compare results with same done on legacy endpoints.
UAT: repoint and use SAPCC to search and retrieve documents. </t>
  </si>
  <si>
    <t>Implement like-for-like</t>
  </si>
  <si>
    <t>https://starkuk.atlassian.net/wiki/spaces/INTEGRATIO/pages/2816376842/web-eapi
https://starkuk.atlassian.net/wiki/spaces/INTEGRATIO/pages/2816180299/infobip-sms-sapi</t>
  </si>
  <si>
    <t>Mule4 - SMS relay for Web</t>
  </si>
  <si>
    <t>ICON and SAPCC and possibly other ones.</t>
  </si>
  <si>
    <t>Direct integration to InfoBip tosend SMS. Only one endpoint.</t>
  </si>
  <si>
    <t>- Determine consumer list
- DEV: legacy endpoint + private VNET if called by ICON if required
- QA: test sending some messages
- UAT: test sending some messages using the consumers
- PROD: repoint the consumers and then turn off Mulesoft</t>
  </si>
  <si>
    <t>Simple direct integration but the consumers list is unclear</t>
  </si>
  <si>
    <t>https://starkuk.atlassian.net/wiki/spaces/INTEGRATIO/pages/3060662273/Workday+to+Concur+Integration+-+HLD</t>
  </si>
  <si>
    <t>File Movements and Data pilelines for concur expenses</t>
  </si>
  <si>
    <t>Picks files from TM1 and push them Data lake, get workers from Workday converts them in CSV and push them into Data lake, wait for a HTTP call to get the files from Data lake and move them into the Concur SFTP.</t>
  </si>
  <si>
    <t>****James Allerton team****(suggested by Jonathan Thompson)</t>
  </si>
  <si>
    <t>Few oustanding points need to be ironed out.</t>
  </si>
  <si>
    <t>https://starkuk.atlassian.net/wiki/spaces/INTEGRATIO/pages/1962934533/Digital+Asset+APIs</t>
  </si>
  <si>
    <t>Mule4 - Product images links and metadata from Cloudinary to SAPCC</t>
  </si>
  <si>
    <t>Time trigger that extract data from Cloudinary via API and creates a CSV file that is then dropped into SAPCC's hot folder.</t>
  </si>
  <si>
    <t>Make sure the CSV file is the same as the one currently produced</t>
  </si>
  <si>
    <t>Hybris QA</t>
  </si>
  <si>
    <t>https://starkuk.atlassian.net/wiki/spaces/INTEGRATIO/pages/2291073061/product-feed-papi+adobe+classification+integration?xpis=eyJicmlkZ2UiOiJxdWlja0ZpbmQiLCJpZCI6IjE3ODgzMzQ4MzMzOTUiLCJzb3VyY2UiOiJjb25mbHVlbmNlIn0%3D</t>
  </si>
  <si>
    <t>Mule4 - Product classification feed from SAPCC to Adobe Marketing Cloud</t>
  </si>
  <si>
    <t>SAPCC produces a file (adobe product feed file) that once a day is picked up and pushed to Adobe Classification API.</t>
  </si>
  <si>
    <t>Potentially develop a surrogate of the Adobe Classification API (just 1 endpoint is needed - Populate import)</t>
  </si>
  <si>
    <t>https://starkuk.atlassian.net/wiki/spaces/INTEGRATIO/pages/1312129440/Product+Feed
https://starkuk.atlassian.net/wiki/spaces/INTEGRATIO/pages/1961361838/Cloudinary+Digital+Assets</t>
  </si>
  <si>
    <t>Mule4 - Product feed data from SAPCC to Bloomreach and Cloudinary to SAPCC, Stock Files from ICON to SAPCC, Product Files from ICON to Stibo</t>
  </si>
  <si>
    <t>Rakuten, Bloomreach and GMC are enabled in production but do not produce any log. ICON to SAPCC is a file transfer involving prices, tally and stock.</t>
  </si>
  <si>
    <t>This is most likely just the file transfer from ICON to SAPCC.</t>
  </si>
  <si>
    <t>We need to understand if Bloomreach, Rakeuten and GMC are still in use.</t>
  </si>
  <si>
    <t>https://starkuk.atlassian.net/wiki/spaces/INTEGRATIO/pages/2180907082/Product+API+-+HLD
https://starkuk.atlassian.net/wiki/spaces/INTEGRATIO/pages/2173435919/product-eapi
https://starkuk.atlassian.net/wiki/spaces/INTEGRATIO/pages/2551120023/pub-product-eapi</t>
  </si>
  <si>
    <t>AMBER/RED</t>
  </si>
  <si>
    <t>Hybris products data request to ICON</t>
  </si>
  <si>
    <t>API that returns product data, stock and prices from ICON. May not be in use any more or be just a fallback. Need to check with KPS if this is still in use. Also, there is no company level stock for products. This needs further investigation to understand how to source this piece of information as it its returned in the Mulesoft API.</t>
  </si>
  <si>
    <t>Use known examples and compare the results.</t>
  </si>
  <si>
    <t>LOW</t>
  </si>
  <si>
    <t>Some unknows.</t>
  </si>
  <si>
    <t>https://starkuk.atlassian.net/wiki/spaces/INTEGRATIO/pages/2715451621/Customer+Specific+Catalogues+-+HLD</t>
  </si>
  <si>
    <t>Customer Specific Catalogue Integration</t>
  </si>
  <si>
    <t>Asynchronous call to ICON to generate a report that is then served back to the caller via a reference code. Product data service - terms products could be an alternative implementation. Another one is going via Data Lake.</t>
  </si>
  <si>
    <t>Compare current and new using the production system.</t>
  </si>
  <si>
    <t>Implement like-for-like, but consider alternatives too.</t>
  </si>
  <si>
    <t>https://starkuk.atlassian.net/wiki/spaces/INTEGRATIO/pages/1850999050/order-eapi</t>
  </si>
  <si>
    <t>Mule4 - Inbound sales orders for ICON</t>
  </si>
  <si>
    <t>Place an order to ICON (including refunds), retrieve an order status and an order number from ICON. May require 3 backwards compatibility endpoints if there is no interface compatibility (between Mulesoft and SOS)</t>
  </si>
  <si>
    <t>Place same order with Mulesoft and with new integration and compare them.</t>
  </si>
  <si>
    <t>It requires reverse engineering to iron out some of the details.</t>
  </si>
  <si>
    <t>Redflag APIs Integration - Integration Team - Confluence</t>
  </si>
  <si>
    <t>Fire and forget</t>
  </si>
  <si>
    <t>Credit application</t>
  </si>
  <si>
    <t>The credit application is initiated in SAPCC. RedFlag triggers a webhook once it is completed. The webhook logic retrieves the application from Redflag and tores it into Columbus.</t>
  </si>
  <si>
    <t>Damien</t>
  </si>
  <si>
    <t>Columbus integration for uploading documents is unknown and also testing seems to be a bit more challenging.</t>
  </si>
  <si>
    <t>MUL-ACCOUNT-VALIDATION</t>
  </si>
  <si>
    <t>https://starkuk.atlassian.net/wiki/spaces/INTEGRATIO/pages/2180153453/Account+Validation+-+HLD</t>
  </si>
  <si>
    <t>Most if the mulesoft apps for this integration are not deployed in PROD. Is this integration still in use?</t>
  </si>
  <si>
    <t>Mule4 - Account validation for linking web account to ICON</t>
  </si>
  <si>
    <t>Multiple applications are not deployed. Need to run a discovery work to determine if this integration in use at all.</t>
  </si>
  <si>
    <t>MUL-OKTA-SYNC</t>
  </si>
  <si>
    <t>https://starkuk.atlassian.net/wiki/spaces/INTEGRATIO/pages/1215791317/High+Level+Design+-+OKTA+Salesforce+Integration
https://starkuk.atlassian.net/wiki/spaces/INTEGRATIO/pages/1601536733/contact-papi#Okta-to-Salesforce</t>
  </si>
  <si>
    <t>Out of scope (steerco)</t>
  </si>
  <si>
    <t>MUL-CONSENT</t>
  </si>
  <si>
    <t>https://starkuk.atlassian.net/wiki/spaces/INTEGRATIO/pages/1600291011/Salesforce+CRM+Redesign+-+Contacts+API+s
https://starkuk.atlassian.net/wiki/spaces/INTEGRATIO/pages/2664857795/ICON+to+Salesforce+-+Accounts</t>
  </si>
  <si>
    <t>MUL-TRIPDATA</t>
  </si>
  <si>
    <t>https://starkuk.atlassian.net/wiki/spaces/INTEGRATIO/pages/3086909454/rac-sapi</t>
  </si>
  <si>
    <t>Out of scope (James' team)</t>
  </si>
  <si>
    <t>MUL-SWIFT6-TRANSPORT</t>
  </si>
  <si>
    <t>https://starkuk.atlassian.net/wiki/spaces/INTEGRATIO/pages/2847997998/transport-papi#Scheduler-run-for---Chevin-Fleetwave-SFTP-to-Swift6%3A</t>
  </si>
  <si>
    <t>MUL-VANSTOCK-PURCHASEORDER</t>
  </si>
  <si>
    <t>https://starkuk.atlassian.net/wiki/spaces/INTEGRATIO/pages/1638040042/vanstock-purchaseorder-eapi#API-Architecture
https://starkuk.atlassian.net/wiki/spaces/INTEGRATIO/pages/1638040042/vanstock-po-eapi
https://starkuk.atlassian.net/wiki/spaces/INTEGRATIO/pages/1638040049/purchaseorder-papi
https://starkuk.atlassian.net/wiki/spaces/INTEGRATIO/pages/1636205353/pecos-purchaseorder-sapi</t>
  </si>
  <si>
    <t>VanStock app purchase order generator</t>
  </si>
  <si>
    <t>Vanstock APP</t>
  </si>
  <si>
    <t>Post purchase order to PECOS (does translation from REST to XML because PECOS uses SOAP.</t>
  </si>
  <si>
    <t>Either post the same order(s) to live PECOS via Mulesost and test PECOS via Azure or create a surrogate.</t>
  </si>
  <si>
    <t>Kristian Bates/Simon Moore</t>
  </si>
  <si>
    <t>Unknow process, unknown systems</t>
  </si>
  <si>
    <t>MUL-COLUMBUS-DOCUMENTS</t>
  </si>
  <si>
    <t>Same as MUL-COLUMBUS-DOC-HYBRIS</t>
  </si>
  <si>
    <t>API Document retrieval from SalersForce to Columbus</t>
  </si>
  <si>
    <t>Date</t>
  </si>
  <si>
    <t>Action</t>
  </si>
  <si>
    <t>Staus</t>
  </si>
  <si>
    <t>MUL_CustomerValidation</t>
  </si>
  <si>
    <t>1. 2 days for addtl dev. Icon unable to connect
2. Sifferences found in wsdl is causing delays</t>
  </si>
  <si>
    <t>2 days of additional  Dev time added as discussed</t>
  </si>
  <si>
    <t>Move all subsequent tasks allocated to Shakeel by 2 days</t>
  </si>
  <si>
    <t>Open - WIP</t>
  </si>
  <si>
    <t>MUL-INVENTORYAUTOMATION 
(Relex-Icon)</t>
  </si>
  <si>
    <t xml:space="preserve">Waiting of IP whitelisting on Relex side (Katies James)
</t>
  </si>
  <si>
    <t>Email Katie and keep in regular contact to check on progress. Escalate after few days if not resolved</t>
  </si>
  <si>
    <t>No loss of productive time, progressing on other tasks meanwhile</t>
  </si>
  <si>
    <t>Email to be sent for sandbox credentials. Contact Andy Slack, copy Seb, PM, and we'll take it fwd</t>
  </si>
  <si>
    <t>Followup with Andy and Chad on this and resolve it.
Copy Marc and James for visibility</t>
  </si>
  <si>
    <t>Cannot test and continue - so time is lost and this blocker needs resolution</t>
  </si>
  <si>
    <t>Week starting</t>
  </si>
  <si>
    <t>Month #</t>
  </si>
  <si>
    <t>Months</t>
  </si>
  <si>
    <t>Apr</t>
  </si>
  <si>
    <t>May</t>
  </si>
  <si>
    <t>Jun</t>
  </si>
  <si>
    <t>Jul</t>
  </si>
  <si>
    <t>Aug</t>
  </si>
  <si>
    <t>Sep</t>
  </si>
  <si>
    <t>Oct</t>
  </si>
  <si>
    <t>Nov</t>
  </si>
  <si>
    <t>Discovery &amp; Analysis</t>
  </si>
  <si>
    <t>Design</t>
  </si>
  <si>
    <t>Infrastructure Provisioning</t>
  </si>
  <si>
    <t>Reverse Engineering, Build &amp; Unit Test</t>
  </si>
  <si>
    <t>SIT</t>
  </si>
  <si>
    <t>API Comparison Testing, Early Performance Testing</t>
  </si>
  <si>
    <t>Performance/Security Testing</t>
  </si>
  <si>
    <t>Deployment/Production Releases</t>
  </si>
  <si>
    <t>Hypercare</t>
  </si>
  <si>
    <t>Decomissioning</t>
  </si>
  <si>
    <t>Role</t>
  </si>
  <si>
    <t>Location</t>
  </si>
  <si>
    <t>Program Manager</t>
  </si>
  <si>
    <t>SPM</t>
  </si>
  <si>
    <t>Offshore</t>
  </si>
  <si>
    <t>APIM Sr. Architect</t>
  </si>
  <si>
    <t>Onsite</t>
  </si>
  <si>
    <t>APIM Architect</t>
  </si>
  <si>
    <t>APIM Lead</t>
  </si>
  <si>
    <t>SA</t>
  </si>
  <si>
    <t>APIM Sr Dev</t>
  </si>
  <si>
    <t>APIM Dev</t>
  </si>
  <si>
    <t>APIM Jr Dev</t>
  </si>
  <si>
    <t>Mashery Sr. Dev</t>
  </si>
  <si>
    <t>Testing Lead</t>
  </si>
  <si>
    <t>Tester</t>
  </si>
  <si>
    <t>Jr Tester</t>
  </si>
  <si>
    <t>DevOps Sr Eng</t>
  </si>
  <si>
    <t>DevoOps Eng</t>
  </si>
  <si>
    <t>Total</t>
  </si>
  <si>
    <t>Dec</t>
  </si>
  <si>
    <t>M1</t>
  </si>
  <si>
    <t>M2</t>
  </si>
  <si>
    <t>M3</t>
  </si>
  <si>
    <t>M4</t>
  </si>
  <si>
    <t>M5</t>
  </si>
  <si>
    <t>M6</t>
  </si>
  <si>
    <t>M7</t>
  </si>
  <si>
    <t>M8</t>
  </si>
  <si>
    <t>M9</t>
  </si>
  <si>
    <t>SM</t>
  </si>
  <si>
    <t>Reverse Engineering &amp; Design</t>
  </si>
  <si>
    <t>Build &amp; Unit Test</t>
  </si>
  <si>
    <t>Phases</t>
  </si>
  <si>
    <t>M10</t>
  </si>
  <si>
    <t>M11</t>
  </si>
  <si>
    <t>M12</t>
  </si>
  <si>
    <t>M13</t>
  </si>
  <si>
    <t>Architecture &amp; Design</t>
  </si>
  <si>
    <t>Performance/Security/OAT/UAT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</si>
</sst>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20">
    <font>
      <sz val="11"/>
      <color theme="1"/>
      <name val="Aptos Narrow"/>
      <family val="2"/>
      <scheme val="minor"/>
    </font>
    <font>
      <b/>
      <sz val="11"/>
      <color theme="1"/>
      <name val="Aptos Narrow"/>
      <family val="2"/>
      <scheme val="minor"/>
    </font>
    <font>
      <sz val="8"/>
      <name val="Aptos Narrow"/>
      <family val="2"/>
      <scheme val="minor"/>
    </font>
    <font>
      <b/>
      <sz val="9"/>
      <color theme="1"/>
      <name val="Aptos Narrow"/>
      <family val="2"/>
      <scheme val="minor"/>
    </font>
    <font>
      <sz val="12"/>
      <color rgb="FFFF0000"/>
      <name val="Aptos Narrow"/>
      <family val="2"/>
      <scheme val="minor"/>
    </font>
    <font>
      <sz val="11"/>
      <color rgb="FFFF0000"/>
      <name val="Aptos Narrow"/>
      <family val="2"/>
      <scheme val="minor"/>
    </font>
    <font>
      <b/>
      <sz val="11"/>
      <color rgb="FFFF0000"/>
      <name val="Aptos Narrow"/>
      <family val="2"/>
      <scheme val="minor"/>
    </font>
    <font>
      <sz val="11"/>
      <color theme="1"/>
      <name val="Aptos Narrow"/>
      <family val="2"/>
      <scheme val="minor"/>
    </font>
    <font>
      <sz val="11"/>
      <name val="Aptos Narrow"/>
      <family val="2"/>
      <scheme val="minor"/>
    </font>
    <font>
      <sz val="9"/>
      <color theme="1"/>
      <name val="Aptos Narrow"/>
      <family val="2"/>
      <scheme val="minor"/>
    </font>
    <font>
      <sz val="11"/>
      <color rgb="FF000000"/>
      <name val="Aptos Narrow"/>
      <family val="2"/>
      <scheme val="minor"/>
    </font>
    <font>
      <sz val="11"/>
      <color rgb="FF0070C0"/>
      <name val="Aptos Narrow"/>
      <family val="2"/>
      <scheme val="minor"/>
    </font>
    <font>
      <u/>
      <sz val="11"/>
      <color rgb="FF0070C0"/>
      <name val="Aptos Narrow"/>
      <family val="2"/>
      <scheme val="minor"/>
    </font>
    <font>
      <sz val="11"/>
      <color rgb="FF242424"/>
      <name val="Aptos Narrow"/>
      <charset val="1"/>
      <scheme val="minor"/>
    </font>
    <font>
      <u/>
      <sz val="11"/>
      <color theme="10"/>
      <name val="Aptos Narrow"/>
      <family val="2"/>
      <scheme val="minor"/>
    </font>
    <font>
      <sz val="9"/>
      <color rgb="FF0070C0"/>
      <name val="Aptos Narrow"/>
      <family val="2"/>
      <scheme val="minor"/>
    </font>
    <font>
      <b/>
      <sz val="9"/>
      <color rgb="FF0070C0"/>
      <name val="Aptos Narrow"/>
      <family val="2"/>
      <scheme val="minor"/>
    </font>
    <font>
      <b/>
      <sz val="11"/>
      <name val="Aptos Narrow"/>
      <family val="2"/>
      <scheme val="minor"/>
    </font>
    <font>
      <sz val="10"/>
      <color theme="1"/>
      <name val="Aptos Narrow"/>
      <family val="2"/>
      <scheme val="minor"/>
    </font>
    <font>
      <b/>
      <sz val="10"/>
      <color theme="1"/>
      <name val="Aptos Narrow"/>
      <family val="2"/>
      <scheme val="minor"/>
    </font>
  </fonts>
  <fills count="40">
    <fill>
      <patternFill patternType="none"/>
    </fill>
    <fill>
      <patternFill patternType="gray125"/>
    </fill>
    <fill>
      <patternFill patternType="solid">
        <fgColor theme="3" tint="0.749992370372631"/>
        <bgColor indexed="64"/>
      </patternFill>
    </fill>
    <fill>
      <patternFill patternType="solid">
        <fgColor theme="5" tint="0.59999389629810485"/>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00B0F0"/>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9" tint="-0.249977111117893"/>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7" tint="-0.499984740745262"/>
        <bgColor indexed="64"/>
      </patternFill>
    </fill>
    <fill>
      <patternFill patternType="solid">
        <fgColor theme="6" tint="-0.499984740745262"/>
        <bgColor indexed="64"/>
      </patternFill>
    </fill>
    <fill>
      <patternFill patternType="solid">
        <fgColor theme="2" tint="-0.249977111117893"/>
        <bgColor indexed="64"/>
      </patternFill>
    </fill>
    <fill>
      <patternFill patternType="solid">
        <fgColor theme="6"/>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C000"/>
        <bgColor indexed="64"/>
      </patternFill>
    </fill>
    <fill>
      <patternFill patternType="solid">
        <fgColor rgb="FFFFC000"/>
        <bgColor rgb="FF000000"/>
      </patternFill>
    </fill>
    <fill>
      <patternFill patternType="solid">
        <fgColor rgb="FFB5E6A2"/>
        <bgColor rgb="FF000000"/>
      </patternFill>
    </fill>
    <fill>
      <patternFill patternType="solid">
        <fgColor theme="0" tint="-0.34998626667073579"/>
        <bgColor indexed="64"/>
      </patternFill>
    </fill>
    <fill>
      <patternFill patternType="solid">
        <fgColor theme="5"/>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rgb="FF7030A0"/>
        <bgColor indexed="64"/>
      </patternFill>
    </fill>
    <fill>
      <patternFill patternType="solid">
        <fgColor rgb="FF00B050"/>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1" tint="0.499984740745262"/>
        <bgColor indexed="64"/>
      </patternFill>
    </fill>
    <fill>
      <patternFill patternType="solid">
        <fgColor rgb="FFC00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s>
  <cellStyleXfs count="3">
    <xf numFmtId="0" fontId="0" fillId="0" borderId="0"/>
    <xf numFmtId="0" fontId="7" fillId="0" borderId="0"/>
    <xf numFmtId="0" fontId="14" fillId="0" borderId="0" applyNumberFormat="0" applyFill="0" applyBorder="0" applyAlignment="0" applyProtection="0"/>
  </cellStyleXfs>
  <cellXfs count="236">
    <xf numFmtId="0" fontId="0" fillId="0" borderId="0" xfId="0"/>
    <xf numFmtId="0" fontId="1" fillId="0" borderId="1" xfId="0" applyFont="1" applyBorder="1"/>
    <xf numFmtId="0" fontId="0" fillId="0" borderId="1" xfId="0" applyBorder="1"/>
    <xf numFmtId="0" fontId="3" fillId="0" borderId="1" xfId="0" applyFont="1" applyBorder="1"/>
    <xf numFmtId="0" fontId="3" fillId="0" borderId="1" xfId="0" applyFont="1" applyBorder="1" applyAlignment="1">
      <alignment wrapText="1"/>
    </xf>
    <xf numFmtId="0" fontId="1" fillId="2" borderId="1" xfId="0" applyFont="1" applyFill="1" applyBorder="1"/>
    <xf numFmtId="0" fontId="0" fillId="0" borderId="1" xfId="0" applyBorder="1" applyAlignment="1">
      <alignment horizontal="center" vertical="center"/>
    </xf>
    <xf numFmtId="0" fontId="0" fillId="3" borderId="0" xfId="0" applyFill="1"/>
    <xf numFmtId="0" fontId="0" fillId="3" borderId="1" xfId="0" applyFill="1" applyBorder="1"/>
    <xf numFmtId="0" fontId="1" fillId="0" borderId="1" xfId="0" applyFont="1" applyBorder="1" applyAlignment="1">
      <alignment horizontal="center" vertical="center"/>
    </xf>
    <xf numFmtId="0" fontId="0" fillId="4" borderId="1" xfId="0" applyFill="1" applyBorder="1"/>
    <xf numFmtId="0" fontId="0" fillId="4" borderId="1" xfId="0" applyFill="1" applyBorder="1" applyAlignment="1">
      <alignment horizontal="center" vertical="center"/>
    </xf>
    <xf numFmtId="0" fontId="0" fillId="5" borderId="1" xfId="0" applyFill="1" applyBorder="1"/>
    <xf numFmtId="0" fontId="0" fillId="5" borderId="1" xfId="0" applyFill="1" applyBorder="1" applyAlignment="1">
      <alignment horizontal="center" vertical="center"/>
    </xf>
    <xf numFmtId="0" fontId="0" fillId="3" borderId="1" xfId="0" applyFill="1" applyBorder="1" applyAlignment="1">
      <alignment horizontal="center" vertical="center"/>
    </xf>
    <xf numFmtId="0" fontId="4" fillId="0" borderId="1" xfId="0" applyFont="1" applyBorder="1"/>
    <xf numFmtId="0" fontId="4" fillId="0" borderId="1" xfId="0" applyFont="1" applyBorder="1" applyAlignment="1">
      <alignment horizontal="center" vertical="center"/>
    </xf>
    <xf numFmtId="0" fontId="4" fillId="0" borderId="0" xfId="0" applyFont="1"/>
    <xf numFmtId="0" fontId="6" fillId="0" borderId="1" xfId="0" applyFont="1" applyBorder="1"/>
    <xf numFmtId="0" fontId="6" fillId="0" borderId="0" xfId="0" applyFont="1"/>
    <xf numFmtId="0" fontId="5" fillId="0" borderId="1" xfId="0" applyFont="1" applyBorder="1"/>
    <xf numFmtId="0" fontId="5" fillId="0" borderId="0" xfId="0" applyFont="1"/>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1" fillId="6" borderId="0" xfId="0" applyFont="1" applyFill="1" applyAlignment="1">
      <alignment horizontal="center" vertical="center"/>
    </xf>
    <xf numFmtId="17" fontId="0" fillId="0" borderId="1" xfId="0" applyNumberFormat="1" applyBorder="1"/>
    <xf numFmtId="0" fontId="0" fillId="2" borderId="1" xfId="0" applyFill="1" applyBorder="1"/>
    <xf numFmtId="16" fontId="0" fillId="2" borderId="1" xfId="0" applyNumberFormat="1" applyFill="1" applyBorder="1"/>
    <xf numFmtId="17" fontId="0" fillId="7" borderId="1" xfId="0" applyNumberFormat="1" applyFill="1" applyBorder="1"/>
    <xf numFmtId="17" fontId="0" fillId="11" borderId="1" xfId="0" applyNumberFormat="1" applyFill="1" applyBorder="1"/>
    <xf numFmtId="17" fontId="0" fillId="12" borderId="1" xfId="0" applyNumberFormat="1" applyFill="1" applyBorder="1"/>
    <xf numFmtId="17" fontId="0" fillId="10" borderId="1" xfId="0" applyNumberFormat="1" applyFill="1" applyBorder="1"/>
    <xf numFmtId="0" fontId="0" fillId="10" borderId="1" xfId="0" applyFill="1" applyBorder="1"/>
    <xf numFmtId="0" fontId="5" fillId="10" borderId="1" xfId="0" applyFont="1" applyFill="1" applyBorder="1"/>
    <xf numFmtId="0" fontId="0" fillId="13" borderId="1" xfId="0" applyFill="1" applyBorder="1"/>
    <xf numFmtId="0" fontId="0" fillId="14" borderId="1" xfId="0" applyFill="1" applyBorder="1"/>
    <xf numFmtId="17" fontId="0" fillId="9" borderId="1" xfId="0" applyNumberFormat="1" applyFill="1" applyBorder="1"/>
    <xf numFmtId="0" fontId="0" fillId="15" borderId="1" xfId="0" applyFill="1" applyBorder="1"/>
    <xf numFmtId="0" fontId="5" fillId="15" borderId="1" xfId="0" applyFont="1" applyFill="1" applyBorder="1"/>
    <xf numFmtId="0" fontId="0" fillId="16" borderId="1" xfId="0" applyFill="1" applyBorder="1"/>
    <xf numFmtId="17" fontId="0" fillId="5" borderId="1" xfId="0" applyNumberFormat="1" applyFill="1" applyBorder="1"/>
    <xf numFmtId="0" fontId="0" fillId="17" borderId="1" xfId="0" applyFill="1" applyBorder="1"/>
    <xf numFmtId="0" fontId="0" fillId="11" borderId="1" xfId="0" applyFill="1" applyBorder="1"/>
    <xf numFmtId="0" fontId="0" fillId="18" borderId="1" xfId="0" applyFill="1" applyBorder="1"/>
    <xf numFmtId="0" fontId="0" fillId="19" borderId="1" xfId="0" applyFill="1" applyBorder="1"/>
    <xf numFmtId="0" fontId="0" fillId="20" borderId="1" xfId="0" applyFill="1" applyBorder="1"/>
    <xf numFmtId="0" fontId="0" fillId="21" borderId="1" xfId="0" applyFill="1" applyBorder="1"/>
    <xf numFmtId="1" fontId="0" fillId="7" borderId="1" xfId="0" applyNumberFormat="1" applyFill="1" applyBorder="1"/>
    <xf numFmtId="1" fontId="0" fillId="0" borderId="1" xfId="0" applyNumberFormat="1" applyBorder="1"/>
    <xf numFmtId="1" fontId="5" fillId="0" borderId="1" xfId="0" applyNumberFormat="1" applyFont="1" applyBorder="1"/>
    <xf numFmtId="1" fontId="0" fillId="11" borderId="1" xfId="0" applyNumberFormat="1" applyFill="1" applyBorder="1"/>
    <xf numFmtId="1" fontId="0" fillId="12" borderId="1" xfId="0" applyNumberFormat="1" applyFill="1" applyBorder="1"/>
    <xf numFmtId="1" fontId="0" fillId="10" borderId="1" xfId="0" applyNumberFormat="1" applyFill="1" applyBorder="1"/>
    <xf numFmtId="1" fontId="5" fillId="10" borderId="1" xfId="0" applyNumberFormat="1" applyFont="1" applyFill="1" applyBorder="1"/>
    <xf numFmtId="1" fontId="0" fillId="13" borderId="1" xfId="0" applyNumberFormat="1" applyFill="1" applyBorder="1"/>
    <xf numFmtId="1" fontId="0" fillId="14" borderId="1" xfId="0" applyNumberFormat="1" applyFill="1" applyBorder="1"/>
    <xf numFmtId="1" fontId="0" fillId="18" borderId="1" xfId="0" applyNumberFormat="1" applyFill="1" applyBorder="1"/>
    <xf numFmtId="1" fontId="0" fillId="9" borderId="1" xfId="0" applyNumberFormat="1" applyFill="1" applyBorder="1"/>
    <xf numFmtId="1" fontId="0" fillId="15" borderId="1" xfId="0" applyNumberFormat="1" applyFill="1" applyBorder="1"/>
    <xf numFmtId="1" fontId="5" fillId="15" borderId="1" xfId="0" applyNumberFormat="1" applyFont="1" applyFill="1" applyBorder="1"/>
    <xf numFmtId="1" fontId="0" fillId="17" borderId="1" xfId="0" applyNumberFormat="1" applyFill="1" applyBorder="1"/>
    <xf numFmtId="1" fontId="0" fillId="19" borderId="1" xfId="0" applyNumberFormat="1" applyFill="1" applyBorder="1"/>
    <xf numFmtId="1" fontId="0" fillId="16" borderId="1" xfId="0" applyNumberFormat="1" applyFill="1" applyBorder="1"/>
    <xf numFmtId="1" fontId="0" fillId="5" borderId="1" xfId="0" applyNumberFormat="1" applyFill="1" applyBorder="1"/>
    <xf numFmtId="1" fontId="0" fillId="0" borderId="0" xfId="0" applyNumberFormat="1"/>
    <xf numFmtId="1" fontId="0" fillId="21" borderId="1" xfId="0" applyNumberFormat="1" applyFill="1" applyBorder="1"/>
    <xf numFmtId="1" fontId="0" fillId="20" borderId="1" xfId="0" applyNumberFormat="1" applyFill="1" applyBorder="1"/>
    <xf numFmtId="0" fontId="8" fillId="0" borderId="1" xfId="0" applyFont="1" applyBorder="1" applyAlignment="1">
      <alignment horizontal="center" vertical="center"/>
    </xf>
    <xf numFmtId="0" fontId="0" fillId="7" borderId="1" xfId="0" applyFill="1" applyBorder="1" applyAlignment="1">
      <alignment horizontal="center" vertical="center"/>
    </xf>
    <xf numFmtId="0" fontId="0" fillId="22" borderId="1" xfId="0" applyFill="1" applyBorder="1" applyAlignment="1">
      <alignment horizontal="center" vertical="center"/>
    </xf>
    <xf numFmtId="1" fontId="1" fillId="12" borderId="1" xfId="0" applyNumberFormat="1" applyFont="1" applyFill="1" applyBorder="1"/>
    <xf numFmtId="1" fontId="1" fillId="9" borderId="1" xfId="0" applyNumberFormat="1" applyFont="1" applyFill="1" applyBorder="1"/>
    <xf numFmtId="1" fontId="1" fillId="5" borderId="1" xfId="0" applyNumberFormat="1" applyFont="1" applyFill="1" applyBorder="1"/>
    <xf numFmtId="1" fontId="1" fillId="21" borderId="1" xfId="0" applyNumberFormat="1" applyFont="1" applyFill="1" applyBorder="1"/>
    <xf numFmtId="1" fontId="1" fillId="20" borderId="1" xfId="0" applyNumberFormat="1" applyFont="1" applyFill="1" applyBorder="1"/>
    <xf numFmtId="0" fontId="0" fillId="8" borderId="1" xfId="0" applyFill="1" applyBorder="1" applyAlignment="1">
      <alignment horizontal="center" vertical="center"/>
    </xf>
    <xf numFmtId="0" fontId="1" fillId="0" borderId="0" xfId="0" applyFont="1" applyAlignment="1">
      <alignment horizontal="center" vertical="center"/>
    </xf>
    <xf numFmtId="0" fontId="1" fillId="2" borderId="2" xfId="0" applyFont="1" applyFill="1" applyBorder="1"/>
    <xf numFmtId="0" fontId="0" fillId="0" borderId="2" xfId="0" applyBorder="1"/>
    <xf numFmtId="0" fontId="0" fillId="4" borderId="2" xfId="0" applyFill="1" applyBorder="1"/>
    <xf numFmtId="0" fontId="5" fillId="0" borderId="2" xfId="0" applyFont="1" applyBorder="1"/>
    <xf numFmtId="0" fontId="0" fillId="0" borderId="4" xfId="0" applyBorder="1"/>
    <xf numFmtId="0" fontId="0" fillId="7" borderId="1" xfId="0" applyFill="1" applyBorder="1"/>
    <xf numFmtId="0" fontId="0" fillId="0" borderId="1" xfId="0" applyBorder="1" applyAlignment="1">
      <alignment wrapText="1"/>
    </xf>
    <xf numFmtId="0" fontId="1" fillId="0" borderId="0" xfId="0" applyFont="1"/>
    <xf numFmtId="0" fontId="1" fillId="23" borderId="1" xfId="0" applyFont="1" applyFill="1" applyBorder="1"/>
    <xf numFmtId="0" fontId="1" fillId="23" borderId="2" xfId="0" applyFont="1" applyFill="1" applyBorder="1" applyAlignment="1">
      <alignment wrapText="1"/>
    </xf>
    <xf numFmtId="0" fontId="1" fillId="24" borderId="1" xfId="0" applyFont="1" applyFill="1" applyBorder="1"/>
    <xf numFmtId="0" fontId="0" fillId="25" borderId="1" xfId="0" applyFill="1" applyBorder="1"/>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1" xfId="0" applyBorder="1" applyAlignment="1">
      <alignment vertical="center"/>
    </xf>
    <xf numFmtId="0" fontId="10" fillId="0" borderId="1" xfId="0" applyFont="1" applyBorder="1" applyAlignment="1">
      <alignment vertical="center"/>
    </xf>
    <xf numFmtId="0" fontId="14" fillId="0" borderId="1" xfId="2" applyBorder="1" applyAlignment="1">
      <alignment vertical="center"/>
    </xf>
    <xf numFmtId="0" fontId="0" fillId="0" borderId="1" xfId="0" applyBorder="1" applyAlignment="1">
      <alignment vertical="center" wrapText="1"/>
    </xf>
    <xf numFmtId="0" fontId="0" fillId="0" borderId="1" xfId="0" applyBorder="1" applyAlignment="1">
      <alignment horizontal="center" vertical="center" wrapText="1"/>
    </xf>
    <xf numFmtId="0" fontId="11" fillId="0" borderId="1" xfId="0" applyFont="1" applyBorder="1" applyAlignment="1">
      <alignment vertical="center"/>
    </xf>
    <xf numFmtId="0" fontId="11" fillId="0" borderId="1" xfId="0" applyFont="1" applyBorder="1" applyAlignment="1">
      <alignment vertical="center" wrapText="1"/>
    </xf>
    <xf numFmtId="0" fontId="11" fillId="0" borderId="1" xfId="0" applyFont="1" applyBorder="1" applyAlignment="1">
      <alignment horizontal="center" vertical="center" wrapText="1"/>
    </xf>
    <xf numFmtId="0" fontId="11" fillId="0" borderId="1" xfId="0" applyFont="1" applyBorder="1" applyAlignment="1">
      <alignment horizontal="center" vertical="center"/>
    </xf>
    <xf numFmtId="0" fontId="13" fillId="0" borderId="0" xfId="0" applyFont="1"/>
    <xf numFmtId="0" fontId="10" fillId="26" borderId="1" xfId="0" applyFont="1" applyFill="1" applyBorder="1" applyAlignment="1">
      <alignment vertical="center"/>
    </xf>
    <xf numFmtId="0" fontId="10" fillId="27" borderId="1" xfId="0" applyFont="1" applyFill="1" applyBorder="1" applyAlignment="1">
      <alignment vertical="center"/>
    </xf>
    <xf numFmtId="0" fontId="9" fillId="7" borderId="1" xfId="0" applyFont="1" applyFill="1" applyBorder="1" applyAlignment="1">
      <alignment vertical="center"/>
    </xf>
    <xf numFmtId="0" fontId="9" fillId="25" borderId="1" xfId="0" applyFont="1" applyFill="1" applyBorder="1" applyAlignment="1">
      <alignment vertical="center"/>
    </xf>
    <xf numFmtId="0" fontId="1" fillId="28" borderId="2" xfId="0" applyFont="1" applyFill="1" applyBorder="1" applyAlignment="1">
      <alignment wrapText="1"/>
    </xf>
    <xf numFmtId="0" fontId="0" fillId="28" borderId="2" xfId="0" applyFill="1" applyBorder="1" applyAlignment="1">
      <alignment horizontal="center"/>
    </xf>
    <xf numFmtId="0" fontId="1" fillId="23" borderId="1" xfId="0" applyFont="1" applyFill="1" applyBorder="1" applyAlignment="1">
      <alignment horizontal="center" vertical="center"/>
    </xf>
    <xf numFmtId="0" fontId="1" fillId="23" borderId="1" xfId="0" applyFont="1" applyFill="1" applyBorder="1" applyAlignment="1">
      <alignment horizontal="center" vertical="center" wrapText="1"/>
    </xf>
    <xf numFmtId="0" fontId="1" fillId="0" borderId="0" xfId="0" applyFont="1" applyAlignment="1">
      <alignment vertical="center"/>
    </xf>
    <xf numFmtId="0" fontId="0" fillId="0" borderId="1" xfId="0" quotePrefix="1" applyBorder="1" applyAlignment="1">
      <alignment vertical="center" wrapText="1"/>
    </xf>
    <xf numFmtId="0" fontId="11" fillId="0" borderId="1" xfId="0" quotePrefix="1" applyFont="1" applyBorder="1" applyAlignment="1">
      <alignment vertical="center" wrapText="1"/>
    </xf>
    <xf numFmtId="0" fontId="11" fillId="0" borderId="0" xfId="0" applyFont="1" applyAlignment="1">
      <alignment vertical="center"/>
    </xf>
    <xf numFmtId="0" fontId="0" fillId="25" borderId="1" xfId="0" applyFill="1" applyBorder="1" applyAlignment="1">
      <alignment vertical="center"/>
    </xf>
    <xf numFmtId="0" fontId="14" fillId="25" borderId="1" xfId="2" applyFill="1" applyBorder="1" applyAlignment="1">
      <alignment vertical="center"/>
    </xf>
    <xf numFmtId="0" fontId="0" fillId="25" borderId="1" xfId="0" applyFill="1" applyBorder="1" applyAlignment="1">
      <alignment vertical="center" wrapText="1"/>
    </xf>
    <xf numFmtId="0" fontId="0" fillId="25" borderId="1" xfId="0" applyFill="1" applyBorder="1" applyAlignment="1">
      <alignment horizontal="center" vertical="center" wrapText="1"/>
    </xf>
    <xf numFmtId="0" fontId="0" fillId="25" borderId="1" xfId="0" applyFill="1" applyBorder="1" applyAlignment="1">
      <alignment horizontal="center" vertical="center"/>
    </xf>
    <xf numFmtId="0" fontId="0" fillId="25" borderId="0" xfId="0" applyFill="1" applyAlignment="1">
      <alignment vertical="center"/>
    </xf>
    <xf numFmtId="0" fontId="0" fillId="7" borderId="1" xfId="0" applyFill="1" applyBorder="1" applyAlignment="1">
      <alignment vertical="center"/>
    </xf>
    <xf numFmtId="0" fontId="0" fillId="7" borderId="1" xfId="0" applyFill="1" applyBorder="1" applyAlignment="1">
      <alignment vertical="center" wrapText="1"/>
    </xf>
    <xf numFmtId="0" fontId="0" fillId="7" borderId="1" xfId="0" applyFill="1" applyBorder="1" applyAlignment="1">
      <alignment horizontal="center" vertical="center" wrapText="1"/>
    </xf>
    <xf numFmtId="0" fontId="0" fillId="7" borderId="0" xfId="0" applyFill="1" applyAlignment="1">
      <alignment vertical="center"/>
    </xf>
    <xf numFmtId="0" fontId="14" fillId="7" borderId="1" xfId="2" applyFill="1" applyBorder="1" applyAlignment="1">
      <alignment vertical="center"/>
    </xf>
    <xf numFmtId="0" fontId="14" fillId="0" borderId="1" xfId="2" applyBorder="1" applyAlignment="1">
      <alignment vertical="center" wrapText="1"/>
    </xf>
    <xf numFmtId="0" fontId="12" fillId="0" borderId="1" xfId="2" applyFont="1" applyBorder="1" applyAlignment="1">
      <alignment vertical="center" wrapText="1"/>
    </xf>
    <xf numFmtId="0" fontId="14" fillId="25" borderId="1" xfId="2" applyFill="1" applyBorder="1" applyAlignment="1">
      <alignment vertical="center" wrapText="1"/>
    </xf>
    <xf numFmtId="0" fontId="14" fillId="7" borderId="1" xfId="2" applyFill="1" applyBorder="1" applyAlignment="1">
      <alignment vertical="center" wrapText="1"/>
    </xf>
    <xf numFmtId="0" fontId="0" fillId="25" borderId="2" xfId="0" applyFill="1" applyBorder="1" applyAlignment="1">
      <alignment horizontal="center"/>
    </xf>
    <xf numFmtId="0" fontId="0" fillId="25" borderId="2" xfId="0" applyFill="1" applyBorder="1"/>
    <xf numFmtId="0" fontId="0" fillId="7" borderId="2" xfId="0" applyFill="1" applyBorder="1" applyAlignment="1">
      <alignment horizontal="center"/>
    </xf>
    <xf numFmtId="0" fontId="0" fillId="7" borderId="2" xfId="0" applyFill="1" applyBorder="1"/>
    <xf numFmtId="0" fontId="1" fillId="23" borderId="2" xfId="0" applyFont="1" applyFill="1" applyBorder="1"/>
    <xf numFmtId="0" fontId="9" fillId="0" borderId="2" xfId="0" applyFont="1" applyBorder="1" applyAlignment="1">
      <alignment vertical="center"/>
    </xf>
    <xf numFmtId="0" fontId="15" fillId="0" borderId="2" xfId="0" applyFont="1" applyBorder="1" applyAlignment="1">
      <alignment vertical="center"/>
    </xf>
    <xf numFmtId="0" fontId="9" fillId="25" borderId="2" xfId="0" applyFont="1" applyFill="1" applyBorder="1" applyAlignment="1">
      <alignment vertical="center"/>
    </xf>
    <xf numFmtId="0" fontId="9" fillId="7" borderId="2" xfId="0" applyFont="1" applyFill="1" applyBorder="1" applyAlignment="1">
      <alignment vertical="center"/>
    </xf>
    <xf numFmtId="0" fontId="0" fillId="28" borderId="1" xfId="0" applyFill="1" applyBorder="1"/>
    <xf numFmtId="0" fontId="0" fillId="8" borderId="2" xfId="0" applyFill="1" applyBorder="1" applyAlignment="1">
      <alignment horizontal="center"/>
    </xf>
    <xf numFmtId="0" fontId="0" fillId="12" borderId="2" xfId="0" applyFill="1" applyBorder="1" applyAlignment="1">
      <alignment horizontal="center"/>
    </xf>
    <xf numFmtId="0" fontId="0" fillId="12" borderId="1" xfId="0" applyFill="1" applyBorder="1"/>
    <xf numFmtId="0" fontId="0" fillId="8" borderId="1" xfId="0" applyFill="1" applyBorder="1"/>
    <xf numFmtId="164" fontId="1" fillId="24" borderId="1" xfId="0" applyNumberFormat="1" applyFont="1" applyFill="1" applyBorder="1" applyAlignment="1">
      <alignment textRotation="90"/>
    </xf>
    <xf numFmtId="0" fontId="3" fillId="0" borderId="1" xfId="0" applyFont="1" applyBorder="1" applyAlignment="1">
      <alignment vertical="center"/>
    </xf>
    <xf numFmtId="0" fontId="0" fillId="16" borderId="2" xfId="0" applyFill="1" applyBorder="1" applyAlignment="1">
      <alignment horizontal="center"/>
    </xf>
    <xf numFmtId="0" fontId="3" fillId="0" borderId="2" xfId="0" applyFont="1" applyBorder="1" applyAlignment="1">
      <alignment vertical="center"/>
    </xf>
    <xf numFmtId="0" fontId="5" fillId="5" borderId="2" xfId="0" applyFont="1" applyFill="1" applyBorder="1" applyAlignment="1">
      <alignment horizontal="center"/>
    </xf>
    <xf numFmtId="0" fontId="5" fillId="25" borderId="2" xfId="0" applyFont="1" applyFill="1" applyBorder="1" applyAlignment="1">
      <alignment horizontal="center"/>
    </xf>
    <xf numFmtId="0" fontId="5" fillId="7" borderId="2" xfId="0" applyFont="1" applyFill="1" applyBorder="1" applyAlignment="1">
      <alignment horizontal="center"/>
    </xf>
    <xf numFmtId="0" fontId="8" fillId="0" borderId="2" xfId="0" applyFont="1" applyBorder="1"/>
    <xf numFmtId="0" fontId="8" fillId="8" borderId="2" xfId="0" applyFont="1" applyFill="1" applyBorder="1"/>
    <xf numFmtId="0" fontId="0" fillId="31" borderId="1" xfId="0" applyFill="1" applyBorder="1" applyAlignment="1">
      <alignment horizontal="center"/>
    </xf>
    <xf numFmtId="0" fontId="8" fillId="12" borderId="2" xfId="0" applyFont="1" applyFill="1" applyBorder="1" applyAlignment="1">
      <alignment horizontal="center"/>
    </xf>
    <xf numFmtId="0" fontId="0" fillId="29" borderId="1" xfId="0" applyFill="1" applyBorder="1"/>
    <xf numFmtId="0" fontId="1" fillId="9" borderId="1" xfId="0" applyFont="1" applyFill="1" applyBorder="1"/>
    <xf numFmtId="164" fontId="1" fillId="9" borderId="1" xfId="0" applyNumberFormat="1" applyFont="1" applyFill="1" applyBorder="1" applyAlignment="1">
      <alignment textRotation="90"/>
    </xf>
    <xf numFmtId="0" fontId="0" fillId="33" borderId="0" xfId="0" applyFill="1"/>
    <xf numFmtId="0" fontId="1" fillId="28" borderId="1" xfId="0" applyFont="1" applyFill="1" applyBorder="1"/>
    <xf numFmtId="16" fontId="0" fillId="0" borderId="1" xfId="0" applyNumberFormat="1" applyBorder="1"/>
    <xf numFmtId="0" fontId="0" fillId="0" borderId="3" xfId="0" applyBorder="1"/>
    <xf numFmtId="0" fontId="0" fillId="28" borderId="3" xfId="0" applyFill="1" applyBorder="1"/>
    <xf numFmtId="0" fontId="0" fillId="5" borderId="3" xfId="0" applyFill="1" applyBorder="1"/>
    <xf numFmtId="0" fontId="0" fillId="12" borderId="3" xfId="0" applyFill="1" applyBorder="1"/>
    <xf numFmtId="0" fontId="0" fillId="8" borderId="3" xfId="0" applyFill="1" applyBorder="1"/>
    <xf numFmtId="0" fontId="5" fillId="7" borderId="1" xfId="0" applyFont="1" applyFill="1" applyBorder="1"/>
    <xf numFmtId="0" fontId="0" fillId="12" borderId="1" xfId="0" applyFill="1" applyBorder="1" applyAlignment="1">
      <alignment wrapText="1"/>
    </xf>
    <xf numFmtId="0" fontId="0" fillId="0" borderId="0" xfId="0" applyAlignment="1">
      <alignment wrapText="1"/>
    </xf>
    <xf numFmtId="15" fontId="0" fillId="0" borderId="1" xfId="0" applyNumberFormat="1" applyBorder="1" applyAlignment="1">
      <alignment wrapText="1"/>
    </xf>
    <xf numFmtId="0" fontId="17" fillId="8" borderId="2" xfId="0" applyFont="1" applyFill="1" applyBorder="1"/>
    <xf numFmtId="0" fontId="0" fillId="34" borderId="1" xfId="0" applyFill="1" applyBorder="1"/>
    <xf numFmtId="0" fontId="0" fillId="34" borderId="2" xfId="0" applyFill="1" applyBorder="1" applyAlignment="1">
      <alignment horizontal="center"/>
    </xf>
    <xf numFmtId="0" fontId="5" fillId="34" borderId="2" xfId="0" applyFont="1" applyFill="1" applyBorder="1" applyAlignment="1">
      <alignment horizontal="center"/>
    </xf>
    <xf numFmtId="0" fontId="8" fillId="34" borderId="2" xfId="0" applyFont="1" applyFill="1" applyBorder="1" applyAlignment="1">
      <alignment horizontal="center"/>
    </xf>
    <xf numFmtId="0" fontId="1" fillId="23" borderId="1" xfId="0" applyFont="1" applyFill="1" applyBorder="1" applyAlignment="1">
      <alignment horizontal="center"/>
    </xf>
    <xf numFmtId="0" fontId="0" fillId="32" borderId="1" xfId="0" applyFill="1" applyBorder="1" applyAlignment="1">
      <alignment horizontal="center"/>
    </xf>
    <xf numFmtId="0" fontId="1" fillId="8" borderId="2" xfId="0" applyFont="1" applyFill="1" applyBorder="1"/>
    <xf numFmtId="0" fontId="1" fillId="30" borderId="2" xfId="0" applyFont="1" applyFill="1" applyBorder="1"/>
    <xf numFmtId="0" fontId="17" fillId="12" borderId="2" xfId="0" applyFont="1" applyFill="1" applyBorder="1"/>
    <xf numFmtId="0" fontId="1" fillId="34" borderId="2" xfId="0" applyFont="1" applyFill="1" applyBorder="1"/>
    <xf numFmtId="0" fontId="5" fillId="29" borderId="1" xfId="0" applyFont="1" applyFill="1" applyBorder="1"/>
    <xf numFmtId="0" fontId="17" fillId="0" borderId="2" xfId="0" applyFont="1" applyBorder="1"/>
    <xf numFmtId="0" fontId="0" fillId="36" borderId="1" xfId="0" applyFill="1" applyBorder="1"/>
    <xf numFmtId="0" fontId="5" fillId="12" borderId="2" xfId="0" applyFont="1" applyFill="1" applyBorder="1" applyAlignment="1">
      <alignment horizontal="center"/>
    </xf>
    <xf numFmtId="0" fontId="0" fillId="6" borderId="1" xfId="0" applyFill="1" applyBorder="1" applyAlignment="1">
      <alignment wrapText="1"/>
    </xf>
    <xf numFmtId="0" fontId="0" fillId="37" borderId="1" xfId="0" applyFill="1" applyBorder="1" applyAlignment="1">
      <alignment wrapText="1"/>
    </xf>
    <xf numFmtId="0" fontId="0" fillId="35" borderId="2" xfId="0" applyFill="1" applyBorder="1"/>
    <xf numFmtId="0" fontId="3" fillId="8" borderId="1" xfId="0" applyFont="1" applyFill="1" applyBorder="1" applyAlignment="1">
      <alignment vertical="center"/>
    </xf>
    <xf numFmtId="0" fontId="16" fillId="8" borderId="1" xfId="0" applyFont="1" applyFill="1" applyBorder="1" applyAlignment="1">
      <alignment vertical="center"/>
    </xf>
    <xf numFmtId="0" fontId="18" fillId="0" borderId="0" xfId="0" applyFont="1" applyAlignment="1">
      <alignment horizontal="center"/>
    </xf>
    <xf numFmtId="0" fontId="19" fillId="24" borderId="1" xfId="0" applyFont="1" applyFill="1" applyBorder="1" applyAlignment="1">
      <alignment horizontal="center"/>
    </xf>
    <xf numFmtId="0" fontId="19" fillId="9" borderId="1" xfId="0" applyFont="1" applyFill="1" applyBorder="1" applyAlignment="1">
      <alignment horizontal="center"/>
    </xf>
    <xf numFmtId="0" fontId="19" fillId="24" borderId="1" xfId="0" applyFont="1" applyFill="1" applyBorder="1" applyAlignment="1">
      <alignment horizontal="center" wrapText="1"/>
    </xf>
    <xf numFmtId="164" fontId="19" fillId="24" borderId="1" xfId="0" applyNumberFormat="1" applyFont="1" applyFill="1" applyBorder="1" applyAlignment="1">
      <alignment horizontal="center" textRotation="90"/>
    </xf>
    <xf numFmtId="164" fontId="19" fillId="9" borderId="1" xfId="0" applyNumberFormat="1" applyFont="1" applyFill="1" applyBorder="1" applyAlignment="1">
      <alignment horizontal="center" textRotation="90"/>
    </xf>
    <xf numFmtId="0" fontId="18" fillId="0" borderId="1" xfId="0" applyFont="1" applyBorder="1" applyAlignment="1">
      <alignment horizontal="center"/>
    </xf>
    <xf numFmtId="0" fontId="18" fillId="38" borderId="1" xfId="0" applyFont="1" applyFill="1" applyBorder="1" applyAlignment="1">
      <alignment horizontal="center"/>
    </xf>
    <xf numFmtId="0" fontId="18" fillId="6" borderId="1" xfId="0" applyFont="1" applyFill="1" applyBorder="1" applyAlignment="1">
      <alignment horizontal="center"/>
    </xf>
    <xf numFmtId="0" fontId="18" fillId="25" borderId="1" xfId="0" applyFont="1" applyFill="1" applyBorder="1" applyAlignment="1">
      <alignment horizontal="center"/>
    </xf>
    <xf numFmtId="0" fontId="18" fillId="0" borderId="1" xfId="0" applyFont="1" applyBorder="1" applyAlignment="1">
      <alignment horizontal="left"/>
    </xf>
    <xf numFmtId="0" fontId="8" fillId="35" borderId="2" xfId="0" applyFont="1" applyFill="1" applyBorder="1"/>
    <xf numFmtId="0" fontId="0" fillId="25" borderId="1" xfId="0" applyFill="1" applyBorder="1" applyAlignment="1">
      <alignment wrapText="1"/>
    </xf>
    <xf numFmtId="0" fontId="0" fillId="0" borderId="1" xfId="0" applyBorder="1" applyAlignment="1">
      <alignment horizontal="center"/>
    </xf>
    <xf numFmtId="0" fontId="0" fillId="0" borderId="0" xfId="0" applyAlignment="1">
      <alignment horizontal="center" wrapText="1"/>
    </xf>
    <xf numFmtId="0" fontId="0" fillId="0" borderId="0" xfId="0" applyAlignment="1">
      <alignment horizontal="center"/>
    </xf>
    <xf numFmtId="0" fontId="0" fillId="35" borderId="2" xfId="0" applyFill="1" applyBorder="1" applyAlignment="1">
      <alignment wrapText="1"/>
    </xf>
    <xf numFmtId="164" fontId="1" fillId="24" borderId="1" xfId="0" applyNumberFormat="1" applyFont="1" applyFill="1" applyBorder="1" applyAlignment="1">
      <alignment horizontal="center" textRotation="90"/>
    </xf>
    <xf numFmtId="0" fontId="0" fillId="39" borderId="1" xfId="0" applyFill="1" applyBorder="1"/>
    <xf numFmtId="0" fontId="5" fillId="5" borderId="1" xfId="0" applyFont="1" applyFill="1" applyBorder="1" applyAlignment="1">
      <alignment horizontal="center"/>
    </xf>
    <xf numFmtId="0" fontId="0" fillId="0" borderId="6" xfId="0" applyBorder="1"/>
    <xf numFmtId="0" fontId="0" fillId="39" borderId="6" xfId="0" applyFill="1" applyBorder="1"/>
    <xf numFmtId="0" fontId="0" fillId="7" borderId="2" xfId="0" applyFill="1" applyBorder="1" applyAlignment="1">
      <alignment wrapText="1"/>
    </xf>
    <xf numFmtId="0" fontId="8" fillId="0" borderId="2" xfId="0" applyFont="1" applyBorder="1" applyAlignment="1">
      <alignment horizontal="center"/>
    </xf>
    <xf numFmtId="0" fontId="0" fillId="36" borderId="0" xfId="0" applyFill="1"/>
    <xf numFmtId="0" fontId="1" fillId="0" borderId="7" xfId="0" applyFont="1" applyBorder="1"/>
    <xf numFmtId="0" fontId="5" fillId="7" borderId="8" xfId="0" applyFont="1" applyFill="1" applyBorder="1"/>
    <xf numFmtId="0" fontId="1" fillId="23" borderId="1" xfId="0" applyFont="1" applyFill="1" applyBorder="1" applyAlignment="1">
      <alignment horizontal="center"/>
    </xf>
    <xf numFmtId="0" fontId="1" fillId="23" borderId="1" xfId="0" applyFont="1" applyFill="1" applyBorder="1" applyAlignment="1">
      <alignment horizontal="right"/>
    </xf>
    <xf numFmtId="0" fontId="1" fillId="23" borderId="2" xfId="0" applyFont="1" applyFill="1" applyBorder="1" applyAlignment="1">
      <alignment horizontal="center"/>
    </xf>
    <xf numFmtId="0" fontId="1" fillId="23" borderId="5" xfId="0" applyFont="1" applyFill="1" applyBorder="1" applyAlignment="1">
      <alignment horizontal="center"/>
    </xf>
    <xf numFmtId="0" fontId="1" fillId="23" borderId="3" xfId="0" applyFont="1" applyFill="1" applyBorder="1" applyAlignment="1">
      <alignment horizontal="center"/>
    </xf>
    <xf numFmtId="0" fontId="1" fillId="23" borderId="1" xfId="0" applyFont="1" applyFill="1" applyBorder="1" applyAlignment="1">
      <alignment horizontal="left" vertical="center" wrapText="1"/>
    </xf>
    <xf numFmtId="0" fontId="1" fillId="23" borderId="1" xfId="0" applyFont="1" applyFill="1" applyBorder="1" applyAlignment="1">
      <alignment horizontal="center" vertical="center"/>
    </xf>
    <xf numFmtId="0" fontId="1" fillId="23" borderId="1" xfId="0" applyFont="1" applyFill="1" applyBorder="1" applyAlignment="1">
      <alignment horizontal="left" vertical="center"/>
    </xf>
    <xf numFmtId="0" fontId="1" fillId="23" borderId="1" xfId="0" applyFont="1" applyFill="1" applyBorder="1" applyAlignment="1">
      <alignment horizontal="center" vertical="center" wrapText="1"/>
    </xf>
    <xf numFmtId="1" fontId="0" fillId="2" borderId="2" xfId="0" applyNumberFormat="1" applyFill="1" applyBorder="1" applyAlignment="1">
      <alignment horizontal="center"/>
    </xf>
    <xf numFmtId="1" fontId="0" fillId="2" borderId="5" xfId="0" applyNumberFormat="1" applyFill="1" applyBorder="1" applyAlignment="1">
      <alignment horizontal="center"/>
    </xf>
    <xf numFmtId="1" fontId="0" fillId="2" borderId="3" xfId="0" applyNumberFormat="1" applyFill="1" applyBorder="1" applyAlignment="1">
      <alignment horizontal="center"/>
    </xf>
    <xf numFmtId="17" fontId="0" fillId="2" borderId="2" xfId="0" applyNumberFormat="1" applyFill="1" applyBorder="1" applyAlignment="1">
      <alignment horizontal="center"/>
    </xf>
    <xf numFmtId="17" fontId="0" fillId="2" borderId="5" xfId="0" applyNumberFormat="1" applyFill="1" applyBorder="1" applyAlignment="1">
      <alignment horizontal="center"/>
    </xf>
    <xf numFmtId="17" fontId="0" fillId="2" borderId="3" xfId="0" applyNumberFormat="1" applyFill="1" applyBorder="1" applyAlignment="1">
      <alignment horizontal="center"/>
    </xf>
    <xf numFmtId="17" fontId="0" fillId="2" borderId="1" xfId="0" applyNumberFormat="1" applyFill="1" applyBorder="1" applyAlignment="1">
      <alignment horizontal="center"/>
    </xf>
    <xf numFmtId="0" fontId="0" fillId="2" borderId="2" xfId="0" applyFill="1" applyBorder="1" applyAlignment="1">
      <alignment horizontal="center"/>
    </xf>
    <xf numFmtId="0" fontId="0" fillId="2" borderId="5" xfId="0" applyFill="1" applyBorder="1" applyAlignment="1">
      <alignment horizontal="center"/>
    </xf>
    <xf numFmtId="0" fontId="0" fillId="2" borderId="3" xfId="0" applyFill="1" applyBorder="1" applyAlignment="1">
      <alignment horizontal="center"/>
    </xf>
  </cellXfs>
  <cellStyles count="3">
    <cellStyle name="Hyperlink" xfId="2" builtinId="8"/>
    <cellStyle name="Normal" xfId="0" builtinId="0"/>
    <cellStyle name="Normal 9 2" xfId="1" xr:uid="{F161E327-17EF-4E15-A1FF-13F49DC2746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11</xdr:col>
      <xdr:colOff>532330</xdr:colOff>
      <xdr:row>5</xdr:row>
      <xdr:rowOff>30273</xdr:rowOff>
    </xdr:from>
    <xdr:to>
      <xdr:col>12</xdr:col>
      <xdr:colOff>66021</xdr:colOff>
      <xdr:row>5</xdr:row>
      <xdr:rowOff>155117</xdr:rowOff>
    </xdr:to>
    <xdr:sp macro="" textlink="">
      <xdr:nvSpPr>
        <xdr:cNvPr id="8" name="Isosceles Triangle 7">
          <a:extLst>
            <a:ext uri="{FF2B5EF4-FFF2-40B4-BE49-F238E27FC236}">
              <a16:creationId xmlns:a16="http://schemas.microsoft.com/office/drawing/2014/main" id="{011D1464-752C-4BC6-8D76-27073C776432}"/>
            </a:ext>
          </a:extLst>
        </xdr:cNvPr>
        <xdr:cNvSpPr/>
      </xdr:nvSpPr>
      <xdr:spPr>
        <a:xfrm>
          <a:off x="10705030" y="792273"/>
          <a:ext cx="143291" cy="124844"/>
        </a:xfrm>
        <a:prstGeom prst="triangle">
          <a:avLst/>
        </a:prstGeom>
        <a:solidFill>
          <a:srgbClr val="B91C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clientData/>
  </xdr:twoCellAnchor>
  <xdr:twoCellAnchor>
    <xdr:from>
      <xdr:col>11</xdr:col>
      <xdr:colOff>509037</xdr:colOff>
      <xdr:row>5</xdr:row>
      <xdr:rowOff>180689</xdr:rowOff>
    </xdr:from>
    <xdr:to>
      <xdr:col>12</xdr:col>
      <xdr:colOff>105177</xdr:colOff>
      <xdr:row>7</xdr:row>
      <xdr:rowOff>5288</xdr:rowOff>
    </xdr:to>
    <xdr:sp macro="" textlink="">
      <xdr:nvSpPr>
        <xdr:cNvPr id="9" name="Star: 5 Points 8">
          <a:extLst>
            <a:ext uri="{FF2B5EF4-FFF2-40B4-BE49-F238E27FC236}">
              <a16:creationId xmlns:a16="http://schemas.microsoft.com/office/drawing/2014/main" id="{EDA782F8-D2B6-492D-80F0-CDFF8929DAD5}"/>
            </a:ext>
          </a:extLst>
        </xdr:cNvPr>
        <xdr:cNvSpPr/>
      </xdr:nvSpPr>
      <xdr:spPr>
        <a:xfrm>
          <a:off x="10681737" y="942689"/>
          <a:ext cx="205740" cy="205599"/>
        </a:xfrm>
        <a:prstGeom prst="star5">
          <a:avLst/>
        </a:prstGeom>
        <a:solidFill>
          <a:srgbClr val="E9C71D"/>
        </a:solidFill>
        <a:ln>
          <a:solidFill>
            <a:srgbClr val="B91C28"/>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clientData/>
  </xdr:twoCellAnchor>
  <xdr:twoCellAnchor>
    <xdr:from>
      <xdr:col>9</xdr:col>
      <xdr:colOff>554763</xdr:colOff>
      <xdr:row>4</xdr:row>
      <xdr:rowOff>20250</xdr:rowOff>
    </xdr:from>
    <xdr:to>
      <xdr:col>10</xdr:col>
      <xdr:colOff>88454</xdr:colOff>
      <xdr:row>4</xdr:row>
      <xdr:rowOff>145094</xdr:rowOff>
    </xdr:to>
    <xdr:sp macro="" textlink="">
      <xdr:nvSpPr>
        <xdr:cNvPr id="16" name="Isosceles Triangle 15">
          <a:extLst>
            <a:ext uri="{FF2B5EF4-FFF2-40B4-BE49-F238E27FC236}">
              <a16:creationId xmlns:a16="http://schemas.microsoft.com/office/drawing/2014/main" id="{97762387-9B36-4C00-81E9-37BAD3EBB6EA}"/>
            </a:ext>
          </a:extLst>
        </xdr:cNvPr>
        <xdr:cNvSpPr/>
      </xdr:nvSpPr>
      <xdr:spPr>
        <a:xfrm>
          <a:off x="9508263" y="591750"/>
          <a:ext cx="143291" cy="124844"/>
        </a:xfrm>
        <a:prstGeom prst="triangle">
          <a:avLst/>
        </a:prstGeom>
        <a:solidFill>
          <a:srgbClr val="B91C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clientData/>
  </xdr:twoCellAnchor>
  <xdr:twoCellAnchor>
    <xdr:from>
      <xdr:col>44</xdr:col>
      <xdr:colOff>200025</xdr:colOff>
      <xdr:row>2</xdr:row>
      <xdr:rowOff>66675</xdr:rowOff>
    </xdr:from>
    <xdr:to>
      <xdr:col>46</xdr:col>
      <xdr:colOff>577424</xdr:colOff>
      <xdr:row>11</xdr:row>
      <xdr:rowOff>85317</xdr:rowOff>
    </xdr:to>
    <xdr:grpSp>
      <xdr:nvGrpSpPr>
        <xdr:cNvPr id="18" name="Group 17">
          <a:extLst>
            <a:ext uri="{FF2B5EF4-FFF2-40B4-BE49-F238E27FC236}">
              <a16:creationId xmlns:a16="http://schemas.microsoft.com/office/drawing/2014/main" id="{FC55100E-1553-4DFB-8C08-1B233C19CE20}"/>
            </a:ext>
          </a:extLst>
        </xdr:cNvPr>
        <xdr:cNvGrpSpPr/>
      </xdr:nvGrpSpPr>
      <xdr:grpSpPr>
        <a:xfrm>
          <a:off x="30460950" y="428625"/>
          <a:ext cx="1596599" cy="1647417"/>
          <a:chOff x="7547726" y="1099722"/>
          <a:chExt cx="1596599" cy="1801704"/>
        </a:xfrm>
      </xdr:grpSpPr>
      <xdr:sp macro="" textlink="">
        <xdr:nvSpPr>
          <xdr:cNvPr id="19" name="TextBox 8">
            <a:extLst>
              <a:ext uri="{FF2B5EF4-FFF2-40B4-BE49-F238E27FC236}">
                <a16:creationId xmlns:a16="http://schemas.microsoft.com/office/drawing/2014/main" id="{E537CD36-6913-23E7-1644-7200E0BD8650}"/>
              </a:ext>
            </a:extLst>
          </xdr:cNvPr>
          <xdr:cNvSpPr txBox="1"/>
        </xdr:nvSpPr>
        <xdr:spPr>
          <a:xfrm>
            <a:off x="7547726" y="1099722"/>
            <a:ext cx="1596599" cy="1801704"/>
          </a:xfrm>
          <a:prstGeom prst="rect">
            <a:avLst/>
          </a:prstGeom>
          <a:solidFill>
            <a:srgbClr val="FFFFFF"/>
          </a:solidFill>
          <a:ln w="9525" cap="flat">
            <a:noFill/>
            <a:prstDash val="solid"/>
            <a:miter/>
          </a:ln>
          <a:effectLst>
            <a:outerShdw blurRad="50800" sx="102000" sy="102000" algn="ctr" rotWithShape="0">
              <a:prstClr val="black">
                <a:alpha val="17000"/>
              </a:prstClr>
            </a:outerShdw>
          </a:effectLst>
        </xdr:spPr>
        <xdr:txBody>
          <a:bodyPr wrap="square" rtlCol="0" anchor="t"/>
          <a:lstStyle>
            <a:defPPr>
              <a:defRPr lang="en-US"/>
            </a:defPPr>
            <a:lvl1pPr marL="0" marR="0" lvl="0" indent="0" algn="l" defTabSz="457200" rtl="0" eaLnBrk="1" fontAlgn="auto" latinLnBrk="0" hangingPunct="1">
              <a:lnSpc>
                <a:spcPct val="100000"/>
              </a:lnSpc>
              <a:spcBef>
                <a:spcPts val="0"/>
              </a:spcBef>
              <a:spcAft>
                <a:spcPts val="0"/>
              </a:spcAft>
              <a:buClrTx/>
              <a:buSzTx/>
              <a:buFontTx/>
              <a:buNone/>
              <a:tabLst/>
              <a:defRPr kumimoji="0" sz="1800" b="0" i="0" u="none" strike="noStrike" kern="1200" cap="none" spc="0" normalizeH="0" baseline="0">
                <a:ln>
                  <a:noFill/>
                </a:ln>
                <a:solidFill>
                  <a:srgbClr val="000048"/>
                </a:solidFill>
                <a:effectLst/>
                <a:uLnTx/>
                <a:uFillTx/>
                <a:latin typeface="Arial" panose="020B0604020202020204"/>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GB" sz="825" b="1"/>
              <a:t>Validation gateways with </a:t>
            </a:r>
          </a:p>
          <a:p>
            <a:r>
              <a:rPr lang="en-GB" sz="825" b="1"/>
              <a:t>Sanofi</a:t>
            </a:r>
          </a:p>
        </xdr:txBody>
      </xdr:sp>
      <xdr:sp macro="" textlink="">
        <xdr:nvSpPr>
          <xdr:cNvPr id="20" name="Isosceles Triangle 19">
            <a:extLst>
              <a:ext uri="{FF2B5EF4-FFF2-40B4-BE49-F238E27FC236}">
                <a16:creationId xmlns:a16="http://schemas.microsoft.com/office/drawing/2014/main" id="{15832635-5DFA-F8FC-6007-DC611DDA037F}"/>
              </a:ext>
            </a:extLst>
          </xdr:cNvPr>
          <xdr:cNvSpPr/>
        </xdr:nvSpPr>
        <xdr:spPr>
          <a:xfrm>
            <a:off x="7662777" y="1725855"/>
            <a:ext cx="143291" cy="124844"/>
          </a:xfrm>
          <a:prstGeom prst="triangle">
            <a:avLst/>
          </a:prstGeom>
          <a:solidFill>
            <a:srgbClr val="B91C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sp macro="" textlink="">
        <xdr:nvSpPr>
          <xdr:cNvPr id="21" name="Circle: Hollow 20">
            <a:extLst>
              <a:ext uri="{FF2B5EF4-FFF2-40B4-BE49-F238E27FC236}">
                <a16:creationId xmlns:a16="http://schemas.microsoft.com/office/drawing/2014/main" id="{403CE306-0EB0-C16C-7043-C8D0BB728CD8}"/>
              </a:ext>
            </a:extLst>
          </xdr:cNvPr>
          <xdr:cNvSpPr/>
        </xdr:nvSpPr>
        <xdr:spPr>
          <a:xfrm>
            <a:off x="7689799" y="2081631"/>
            <a:ext cx="102870" cy="96450"/>
          </a:xfrm>
          <a:prstGeom prst="donut">
            <a:avLst/>
          </a:prstGeom>
          <a:solidFill>
            <a:srgbClr val="C00000"/>
          </a:solidFill>
          <a:ln>
            <a:solidFill>
              <a:srgbClr val="B91C28"/>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sp macro="" textlink="">
        <xdr:nvSpPr>
          <xdr:cNvPr id="22" name="Star: 5 Points 21">
            <a:extLst>
              <a:ext uri="{FF2B5EF4-FFF2-40B4-BE49-F238E27FC236}">
                <a16:creationId xmlns:a16="http://schemas.microsoft.com/office/drawing/2014/main" id="{779A76A7-1861-852D-3E7C-BC9EF58D290E}"/>
              </a:ext>
            </a:extLst>
          </xdr:cNvPr>
          <xdr:cNvSpPr/>
        </xdr:nvSpPr>
        <xdr:spPr>
          <a:xfrm>
            <a:off x="7631553" y="1405332"/>
            <a:ext cx="205740" cy="192899"/>
          </a:xfrm>
          <a:prstGeom prst="star5">
            <a:avLst/>
          </a:prstGeom>
          <a:solidFill>
            <a:srgbClr val="E9C71D"/>
          </a:solidFill>
          <a:ln>
            <a:solidFill>
              <a:srgbClr val="B91C28"/>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sp macro="" textlink="">
        <xdr:nvSpPr>
          <xdr:cNvPr id="23" name="TextBox 21">
            <a:extLst>
              <a:ext uri="{FF2B5EF4-FFF2-40B4-BE49-F238E27FC236}">
                <a16:creationId xmlns:a16="http://schemas.microsoft.com/office/drawing/2014/main" id="{391EF479-3EB8-F683-6080-8ECFCF84B0F4}"/>
              </a:ext>
            </a:extLst>
          </xdr:cNvPr>
          <xdr:cNvSpPr txBox="1"/>
        </xdr:nvSpPr>
        <xdr:spPr>
          <a:xfrm>
            <a:off x="7853877" y="1431279"/>
            <a:ext cx="1200711" cy="196208"/>
          </a:xfrm>
          <a:prstGeom prst="rect">
            <a:avLst/>
          </a:prstGeom>
          <a:noFill/>
        </xdr:spPr>
        <xdr:txBody>
          <a:bodyPr wrap="square">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GB" sz="675" i="1">
                <a:latin typeface="+mj-lt"/>
              </a:rPr>
              <a:t>Infrastructure Readiness</a:t>
            </a:r>
          </a:p>
        </xdr:txBody>
      </xdr:sp>
      <xdr:sp macro="" textlink="">
        <xdr:nvSpPr>
          <xdr:cNvPr id="24" name="TextBox 22">
            <a:extLst>
              <a:ext uri="{FF2B5EF4-FFF2-40B4-BE49-F238E27FC236}">
                <a16:creationId xmlns:a16="http://schemas.microsoft.com/office/drawing/2014/main" id="{DC9EF9BF-46AD-AB08-77DC-6A2F7D57AEAE}"/>
              </a:ext>
            </a:extLst>
          </xdr:cNvPr>
          <xdr:cNvSpPr txBox="1"/>
        </xdr:nvSpPr>
        <xdr:spPr>
          <a:xfrm>
            <a:off x="7853877" y="1701707"/>
            <a:ext cx="1200711" cy="196208"/>
          </a:xfrm>
          <a:prstGeom prst="rect">
            <a:avLst/>
          </a:prstGeom>
          <a:noFill/>
        </xdr:spPr>
        <xdr:txBody>
          <a:bodyPr wrap="square">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GB" sz="675" i="1">
                <a:latin typeface="+mj-lt"/>
              </a:rPr>
              <a:t>Review &amp; Sign off</a:t>
            </a:r>
          </a:p>
        </xdr:txBody>
      </xdr:sp>
      <xdr:sp macro="" textlink="">
        <xdr:nvSpPr>
          <xdr:cNvPr id="25" name="TextBox 23">
            <a:extLst>
              <a:ext uri="{FF2B5EF4-FFF2-40B4-BE49-F238E27FC236}">
                <a16:creationId xmlns:a16="http://schemas.microsoft.com/office/drawing/2014/main" id="{FA133617-5DE8-9781-89F3-2AEC3AC935AA}"/>
              </a:ext>
            </a:extLst>
          </xdr:cNvPr>
          <xdr:cNvSpPr txBox="1"/>
        </xdr:nvSpPr>
        <xdr:spPr>
          <a:xfrm>
            <a:off x="7846685" y="2028981"/>
            <a:ext cx="1200711" cy="196208"/>
          </a:xfrm>
          <a:prstGeom prst="rect">
            <a:avLst/>
          </a:prstGeom>
          <a:noFill/>
        </xdr:spPr>
        <xdr:txBody>
          <a:bodyPr wrap="square">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GB" sz="675" i="1">
                <a:latin typeface="+mj-lt"/>
              </a:rPr>
              <a:t>Deployment Sign off</a:t>
            </a:r>
          </a:p>
        </xdr:txBody>
      </xdr:sp>
      <xdr:sp macro="" textlink="">
        <xdr:nvSpPr>
          <xdr:cNvPr id="26" name="Star: 5 Points 25">
            <a:extLst>
              <a:ext uri="{FF2B5EF4-FFF2-40B4-BE49-F238E27FC236}">
                <a16:creationId xmlns:a16="http://schemas.microsoft.com/office/drawing/2014/main" id="{A14FC113-ACF6-AB18-924C-453FB5BFE8A3}"/>
              </a:ext>
            </a:extLst>
          </xdr:cNvPr>
          <xdr:cNvSpPr/>
        </xdr:nvSpPr>
        <xdr:spPr>
          <a:xfrm>
            <a:off x="7631553" y="2332399"/>
            <a:ext cx="205740" cy="192899"/>
          </a:xfrm>
          <a:prstGeom prst="star5">
            <a:avLst/>
          </a:prstGeom>
          <a:solidFill>
            <a:schemeClr val="accent6"/>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sp macro="" textlink="">
        <xdr:nvSpPr>
          <xdr:cNvPr id="27" name="TextBox 25">
            <a:extLst>
              <a:ext uri="{FF2B5EF4-FFF2-40B4-BE49-F238E27FC236}">
                <a16:creationId xmlns:a16="http://schemas.microsoft.com/office/drawing/2014/main" id="{FE76C18F-D2DD-BD94-CF3F-47C62F7B226B}"/>
              </a:ext>
            </a:extLst>
          </xdr:cNvPr>
          <xdr:cNvSpPr txBox="1"/>
        </xdr:nvSpPr>
        <xdr:spPr>
          <a:xfrm>
            <a:off x="7902063" y="2334626"/>
            <a:ext cx="1200711" cy="196208"/>
          </a:xfrm>
          <a:prstGeom prst="rect">
            <a:avLst/>
          </a:prstGeom>
          <a:noFill/>
        </xdr:spPr>
        <xdr:txBody>
          <a:bodyPr wrap="square">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GB" sz="675" i="1">
                <a:latin typeface="+mj-lt"/>
              </a:rPr>
              <a:t>End of Hypercare</a:t>
            </a:r>
          </a:p>
        </xdr:txBody>
      </xdr:sp>
      <xdr:sp macro="" textlink="">
        <xdr:nvSpPr>
          <xdr:cNvPr id="28" name="Star: 5 Points 27">
            <a:extLst>
              <a:ext uri="{FF2B5EF4-FFF2-40B4-BE49-F238E27FC236}">
                <a16:creationId xmlns:a16="http://schemas.microsoft.com/office/drawing/2014/main" id="{64F5E383-EE88-3DA4-9704-2DA730639778}"/>
              </a:ext>
            </a:extLst>
          </xdr:cNvPr>
          <xdr:cNvSpPr/>
        </xdr:nvSpPr>
        <xdr:spPr>
          <a:xfrm>
            <a:off x="7640460" y="2657500"/>
            <a:ext cx="205740" cy="192899"/>
          </a:xfrm>
          <a:prstGeom prst="star5">
            <a:avLst/>
          </a:prstGeom>
          <a:solidFill>
            <a:srgbClr val="7030A0"/>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sp macro="" textlink="">
        <xdr:nvSpPr>
          <xdr:cNvPr id="29" name="TextBox 55">
            <a:extLst>
              <a:ext uri="{FF2B5EF4-FFF2-40B4-BE49-F238E27FC236}">
                <a16:creationId xmlns:a16="http://schemas.microsoft.com/office/drawing/2014/main" id="{57D04CB5-C961-84AD-CC1A-F19AD3E2EFE1}"/>
              </a:ext>
            </a:extLst>
          </xdr:cNvPr>
          <xdr:cNvSpPr txBox="1"/>
        </xdr:nvSpPr>
        <xdr:spPr>
          <a:xfrm>
            <a:off x="7891793" y="2672893"/>
            <a:ext cx="1200711" cy="205836"/>
          </a:xfrm>
          <a:prstGeom prst="rect">
            <a:avLst/>
          </a:prstGeom>
          <a:noFill/>
        </xdr:spPr>
        <xdr:txBody>
          <a:bodyPr wrap="square">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GB" sz="675" i="1">
                <a:latin typeface="+mj-lt"/>
              </a:rPr>
              <a:t>Mashery Decommisioning</a:t>
            </a:r>
          </a:p>
        </xdr:txBody>
      </xdr:sp>
    </xdr:grpSp>
    <xdr:clientData/>
  </xdr:twoCellAnchor>
  <xdr:twoCellAnchor>
    <xdr:from>
      <xdr:col>42</xdr:col>
      <xdr:colOff>524579</xdr:colOff>
      <xdr:row>12</xdr:row>
      <xdr:rowOff>171450</xdr:rowOff>
    </xdr:from>
    <xdr:to>
      <xdr:col>43</xdr:col>
      <xdr:colOff>104774</xdr:colOff>
      <xdr:row>14</xdr:row>
      <xdr:rowOff>2399</xdr:rowOff>
    </xdr:to>
    <xdr:sp macro="" textlink="">
      <xdr:nvSpPr>
        <xdr:cNvPr id="49" name="Star: 5 Points 48">
          <a:extLst>
            <a:ext uri="{FF2B5EF4-FFF2-40B4-BE49-F238E27FC236}">
              <a16:creationId xmlns:a16="http://schemas.microsoft.com/office/drawing/2014/main" id="{FFFAC9BD-F96F-40C2-B38E-5710380E40F5}"/>
            </a:ext>
          </a:extLst>
        </xdr:cNvPr>
        <xdr:cNvSpPr/>
      </xdr:nvSpPr>
      <xdr:spPr>
        <a:xfrm>
          <a:off x="29566304" y="2457450"/>
          <a:ext cx="189795" cy="211949"/>
        </a:xfrm>
        <a:prstGeom prst="star5">
          <a:avLst/>
        </a:prstGeom>
        <a:solidFill>
          <a:schemeClr val="accent6"/>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clientData/>
  </xdr:twoCellAnchor>
  <xdr:twoCellAnchor>
    <xdr:from>
      <xdr:col>21</xdr:col>
      <xdr:colOff>542647</xdr:colOff>
      <xdr:row>12</xdr:row>
      <xdr:rowOff>63354</xdr:rowOff>
    </xdr:from>
    <xdr:to>
      <xdr:col>22</xdr:col>
      <xdr:colOff>64492</xdr:colOff>
      <xdr:row>12</xdr:row>
      <xdr:rowOff>162979</xdr:rowOff>
    </xdr:to>
    <xdr:sp macro="" textlink="">
      <xdr:nvSpPr>
        <xdr:cNvPr id="2" name="Circle: Hollow 1">
          <a:extLst>
            <a:ext uri="{FF2B5EF4-FFF2-40B4-BE49-F238E27FC236}">
              <a16:creationId xmlns:a16="http://schemas.microsoft.com/office/drawing/2014/main" id="{476A24D7-5E95-2BC5-272D-2C814D21056A}"/>
            </a:ext>
          </a:extLst>
        </xdr:cNvPr>
        <xdr:cNvSpPr/>
      </xdr:nvSpPr>
      <xdr:spPr>
        <a:xfrm>
          <a:off x="16782772" y="2349354"/>
          <a:ext cx="131445" cy="99625"/>
        </a:xfrm>
        <a:prstGeom prst="donut">
          <a:avLst/>
        </a:prstGeom>
        <a:solidFill>
          <a:srgbClr val="C00000"/>
        </a:solidFill>
        <a:ln>
          <a:solidFill>
            <a:srgbClr val="B91C28"/>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clientData/>
  </xdr:twoCellAnchor>
  <xdr:twoCellAnchor>
    <xdr:from>
      <xdr:col>25</xdr:col>
      <xdr:colOff>542647</xdr:colOff>
      <xdr:row>12</xdr:row>
      <xdr:rowOff>53829</xdr:rowOff>
    </xdr:from>
    <xdr:to>
      <xdr:col>26</xdr:col>
      <xdr:colOff>64492</xdr:colOff>
      <xdr:row>12</xdr:row>
      <xdr:rowOff>153454</xdr:rowOff>
    </xdr:to>
    <xdr:sp macro="" textlink="">
      <xdr:nvSpPr>
        <xdr:cNvPr id="31" name="Circle: Hollow 30">
          <a:extLst>
            <a:ext uri="{FF2B5EF4-FFF2-40B4-BE49-F238E27FC236}">
              <a16:creationId xmlns:a16="http://schemas.microsoft.com/office/drawing/2014/main" id="{E893B532-74A7-44A0-95EB-984786BFBBFF}"/>
            </a:ext>
          </a:extLst>
        </xdr:cNvPr>
        <xdr:cNvSpPr/>
      </xdr:nvSpPr>
      <xdr:spPr>
        <a:xfrm>
          <a:off x="19221172" y="2339829"/>
          <a:ext cx="131445" cy="99625"/>
        </a:xfrm>
        <a:prstGeom prst="donut">
          <a:avLst/>
        </a:prstGeom>
        <a:solidFill>
          <a:srgbClr val="C00000"/>
        </a:solidFill>
        <a:ln>
          <a:solidFill>
            <a:srgbClr val="B91C28"/>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clientData/>
  </xdr:twoCellAnchor>
  <xdr:twoCellAnchor>
    <xdr:from>
      <xdr:col>30</xdr:col>
      <xdr:colOff>561697</xdr:colOff>
      <xdr:row>12</xdr:row>
      <xdr:rowOff>72879</xdr:rowOff>
    </xdr:from>
    <xdr:to>
      <xdr:col>31</xdr:col>
      <xdr:colOff>83542</xdr:colOff>
      <xdr:row>12</xdr:row>
      <xdr:rowOff>172504</xdr:rowOff>
    </xdr:to>
    <xdr:sp macro="" textlink="">
      <xdr:nvSpPr>
        <xdr:cNvPr id="32" name="Circle: Hollow 31">
          <a:extLst>
            <a:ext uri="{FF2B5EF4-FFF2-40B4-BE49-F238E27FC236}">
              <a16:creationId xmlns:a16="http://schemas.microsoft.com/office/drawing/2014/main" id="{C60EB864-60C9-88A5-FB22-8071AC8E39E7}"/>
            </a:ext>
          </a:extLst>
        </xdr:cNvPr>
        <xdr:cNvSpPr/>
      </xdr:nvSpPr>
      <xdr:spPr>
        <a:xfrm>
          <a:off x="22288222" y="2358879"/>
          <a:ext cx="131445" cy="99625"/>
        </a:xfrm>
        <a:prstGeom prst="donut">
          <a:avLst/>
        </a:prstGeom>
        <a:solidFill>
          <a:srgbClr val="C00000"/>
        </a:solidFill>
        <a:ln>
          <a:solidFill>
            <a:srgbClr val="B91C28"/>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clientData/>
  </xdr:twoCellAnchor>
  <xdr:twoCellAnchor>
    <xdr:from>
      <xdr:col>34</xdr:col>
      <xdr:colOff>542647</xdr:colOff>
      <xdr:row>12</xdr:row>
      <xdr:rowOff>53829</xdr:rowOff>
    </xdr:from>
    <xdr:to>
      <xdr:col>35</xdr:col>
      <xdr:colOff>64492</xdr:colOff>
      <xdr:row>12</xdr:row>
      <xdr:rowOff>153454</xdr:rowOff>
    </xdr:to>
    <xdr:sp macro="" textlink="">
      <xdr:nvSpPr>
        <xdr:cNvPr id="33" name="Circle: Hollow 32">
          <a:extLst>
            <a:ext uri="{FF2B5EF4-FFF2-40B4-BE49-F238E27FC236}">
              <a16:creationId xmlns:a16="http://schemas.microsoft.com/office/drawing/2014/main" id="{6936E5CF-2F16-0AF9-D214-B6267908FF60}"/>
            </a:ext>
          </a:extLst>
        </xdr:cNvPr>
        <xdr:cNvSpPr/>
      </xdr:nvSpPr>
      <xdr:spPr>
        <a:xfrm>
          <a:off x="24707572" y="2339829"/>
          <a:ext cx="131445" cy="99625"/>
        </a:xfrm>
        <a:prstGeom prst="donut">
          <a:avLst/>
        </a:prstGeom>
        <a:solidFill>
          <a:srgbClr val="C00000"/>
        </a:solidFill>
        <a:ln>
          <a:solidFill>
            <a:srgbClr val="B91C28"/>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clientData/>
  </xdr:twoCellAnchor>
  <xdr:twoCellAnchor>
    <xdr:from>
      <xdr:col>38</xdr:col>
      <xdr:colOff>542647</xdr:colOff>
      <xdr:row>12</xdr:row>
      <xdr:rowOff>63354</xdr:rowOff>
    </xdr:from>
    <xdr:to>
      <xdr:col>39</xdr:col>
      <xdr:colOff>64492</xdr:colOff>
      <xdr:row>12</xdr:row>
      <xdr:rowOff>162979</xdr:rowOff>
    </xdr:to>
    <xdr:sp macro="" textlink="">
      <xdr:nvSpPr>
        <xdr:cNvPr id="38" name="Circle: Hollow 37">
          <a:extLst>
            <a:ext uri="{FF2B5EF4-FFF2-40B4-BE49-F238E27FC236}">
              <a16:creationId xmlns:a16="http://schemas.microsoft.com/office/drawing/2014/main" id="{5BE41E3E-D521-4153-9883-C66771070EEF}"/>
            </a:ext>
          </a:extLst>
        </xdr:cNvPr>
        <xdr:cNvSpPr/>
      </xdr:nvSpPr>
      <xdr:spPr>
        <a:xfrm>
          <a:off x="27145972" y="2349354"/>
          <a:ext cx="131445" cy="99625"/>
        </a:xfrm>
        <a:prstGeom prst="donut">
          <a:avLst/>
        </a:prstGeom>
        <a:solidFill>
          <a:srgbClr val="C00000"/>
        </a:solidFill>
        <a:ln>
          <a:solidFill>
            <a:srgbClr val="B91C28"/>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11916</xdr:colOff>
      <xdr:row>17</xdr:row>
      <xdr:rowOff>59833</xdr:rowOff>
    </xdr:from>
    <xdr:to>
      <xdr:col>8</xdr:col>
      <xdr:colOff>266316</xdr:colOff>
      <xdr:row>17</xdr:row>
      <xdr:rowOff>149224</xdr:rowOff>
    </xdr:to>
    <xdr:sp macro="" textlink="">
      <xdr:nvSpPr>
        <xdr:cNvPr id="2" name="Rectangle: Rounded Corners 1">
          <a:extLst>
            <a:ext uri="{FF2B5EF4-FFF2-40B4-BE49-F238E27FC236}">
              <a16:creationId xmlns:a16="http://schemas.microsoft.com/office/drawing/2014/main" id="{0946DA52-3BA1-4FFF-A519-F718D6990E8B}"/>
            </a:ext>
          </a:extLst>
        </xdr:cNvPr>
        <xdr:cNvSpPr/>
      </xdr:nvSpPr>
      <xdr:spPr>
        <a:xfrm>
          <a:off x="5831691" y="3298333"/>
          <a:ext cx="2778525" cy="89391"/>
        </a:xfrm>
        <a:prstGeom prst="roundRect">
          <a:avLst/>
        </a:prstGeom>
        <a:solidFill>
          <a:schemeClr val="accent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endParaRPr lang="en-GB" sz="675">
            <a:latin typeface="+mj-lt"/>
          </a:endParaRPr>
        </a:p>
      </xdr:txBody>
    </xdr:sp>
    <xdr:clientData/>
  </xdr:twoCellAnchor>
  <xdr:twoCellAnchor>
    <xdr:from>
      <xdr:col>4</xdr:col>
      <xdr:colOff>206640</xdr:colOff>
      <xdr:row>18</xdr:row>
      <xdr:rowOff>62912</xdr:rowOff>
    </xdr:from>
    <xdr:to>
      <xdr:col>8</xdr:col>
      <xdr:colOff>605040</xdr:colOff>
      <xdr:row>18</xdr:row>
      <xdr:rowOff>152400</xdr:rowOff>
    </xdr:to>
    <xdr:sp macro="" textlink="">
      <xdr:nvSpPr>
        <xdr:cNvPr id="3" name="Rectangle: Rounded Corners 2">
          <a:extLst>
            <a:ext uri="{FF2B5EF4-FFF2-40B4-BE49-F238E27FC236}">
              <a16:creationId xmlns:a16="http://schemas.microsoft.com/office/drawing/2014/main" id="{7A7F965E-EB7F-4957-912E-D1DF1FCEF51F}"/>
            </a:ext>
          </a:extLst>
        </xdr:cNvPr>
        <xdr:cNvSpPr/>
      </xdr:nvSpPr>
      <xdr:spPr>
        <a:xfrm>
          <a:off x="6026415" y="3491912"/>
          <a:ext cx="2922525" cy="89488"/>
        </a:xfrm>
        <a:prstGeom prst="roundRect">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clientData/>
  </xdr:twoCellAnchor>
  <xdr:twoCellAnchor>
    <xdr:from>
      <xdr:col>9</xdr:col>
      <xdr:colOff>309094</xdr:colOff>
      <xdr:row>21</xdr:row>
      <xdr:rowOff>65578</xdr:rowOff>
    </xdr:from>
    <xdr:to>
      <xdr:col>13</xdr:col>
      <xdr:colOff>318694</xdr:colOff>
      <xdr:row>21</xdr:row>
      <xdr:rowOff>139700</xdr:rowOff>
    </xdr:to>
    <xdr:sp macro="" textlink="">
      <xdr:nvSpPr>
        <xdr:cNvPr id="4" name="Rectangle: Rounded Corners 3">
          <a:extLst>
            <a:ext uri="{FF2B5EF4-FFF2-40B4-BE49-F238E27FC236}">
              <a16:creationId xmlns:a16="http://schemas.microsoft.com/office/drawing/2014/main" id="{57CD3827-479E-42B3-8219-8D535037B91B}"/>
            </a:ext>
          </a:extLst>
        </xdr:cNvPr>
        <xdr:cNvSpPr/>
      </xdr:nvSpPr>
      <xdr:spPr>
        <a:xfrm>
          <a:off x="9262594" y="4066078"/>
          <a:ext cx="2448000" cy="74122"/>
        </a:xfrm>
        <a:prstGeom prst="roundRect">
          <a:avLst/>
        </a:prstGeom>
        <a:solidFill>
          <a:schemeClr val="tx2">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endParaRPr lang="en-GB" sz="675">
            <a:latin typeface="+mj-lt"/>
          </a:endParaRPr>
        </a:p>
      </xdr:txBody>
    </xdr:sp>
    <xdr:clientData/>
  </xdr:twoCellAnchor>
  <xdr:twoCellAnchor>
    <xdr:from>
      <xdr:col>11</xdr:col>
      <xdr:colOff>532330</xdr:colOff>
      <xdr:row>5</xdr:row>
      <xdr:rowOff>30273</xdr:rowOff>
    </xdr:from>
    <xdr:to>
      <xdr:col>12</xdr:col>
      <xdr:colOff>66021</xdr:colOff>
      <xdr:row>5</xdr:row>
      <xdr:rowOff>155117</xdr:rowOff>
    </xdr:to>
    <xdr:sp macro="" textlink="">
      <xdr:nvSpPr>
        <xdr:cNvPr id="5" name="Isosceles Triangle 4">
          <a:extLst>
            <a:ext uri="{FF2B5EF4-FFF2-40B4-BE49-F238E27FC236}">
              <a16:creationId xmlns:a16="http://schemas.microsoft.com/office/drawing/2014/main" id="{BC5802FD-2E98-41FD-8B6B-59AA84D77175}"/>
            </a:ext>
          </a:extLst>
        </xdr:cNvPr>
        <xdr:cNvSpPr/>
      </xdr:nvSpPr>
      <xdr:spPr>
        <a:xfrm>
          <a:off x="10705030" y="982773"/>
          <a:ext cx="143291" cy="124844"/>
        </a:xfrm>
        <a:prstGeom prst="triangle">
          <a:avLst/>
        </a:prstGeom>
        <a:solidFill>
          <a:srgbClr val="B91C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clientData/>
  </xdr:twoCellAnchor>
  <xdr:twoCellAnchor>
    <xdr:from>
      <xdr:col>11</xdr:col>
      <xdr:colOff>509037</xdr:colOff>
      <xdr:row>5</xdr:row>
      <xdr:rowOff>180689</xdr:rowOff>
    </xdr:from>
    <xdr:to>
      <xdr:col>12</xdr:col>
      <xdr:colOff>105177</xdr:colOff>
      <xdr:row>7</xdr:row>
      <xdr:rowOff>5288</xdr:rowOff>
    </xdr:to>
    <xdr:sp macro="" textlink="">
      <xdr:nvSpPr>
        <xdr:cNvPr id="6" name="Star: 5 Points 5">
          <a:extLst>
            <a:ext uri="{FF2B5EF4-FFF2-40B4-BE49-F238E27FC236}">
              <a16:creationId xmlns:a16="http://schemas.microsoft.com/office/drawing/2014/main" id="{96C3497C-011D-42BE-9495-9F06B9676B11}"/>
            </a:ext>
          </a:extLst>
        </xdr:cNvPr>
        <xdr:cNvSpPr/>
      </xdr:nvSpPr>
      <xdr:spPr>
        <a:xfrm>
          <a:off x="10681737" y="1133189"/>
          <a:ext cx="205740" cy="205599"/>
        </a:xfrm>
        <a:prstGeom prst="star5">
          <a:avLst/>
        </a:prstGeom>
        <a:solidFill>
          <a:srgbClr val="E9C71D"/>
        </a:solidFill>
        <a:ln>
          <a:solidFill>
            <a:srgbClr val="B91C28"/>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clientData/>
  </xdr:twoCellAnchor>
  <xdr:twoCellAnchor>
    <xdr:from>
      <xdr:col>10</xdr:col>
      <xdr:colOff>275947</xdr:colOff>
      <xdr:row>23</xdr:row>
      <xdr:rowOff>25254</xdr:rowOff>
    </xdr:from>
    <xdr:to>
      <xdr:col>10</xdr:col>
      <xdr:colOff>378817</xdr:colOff>
      <xdr:row>23</xdr:row>
      <xdr:rowOff>124879</xdr:rowOff>
    </xdr:to>
    <xdr:sp macro="" textlink="">
      <xdr:nvSpPr>
        <xdr:cNvPr id="7" name="Circle: Hollow 6">
          <a:extLst>
            <a:ext uri="{FF2B5EF4-FFF2-40B4-BE49-F238E27FC236}">
              <a16:creationId xmlns:a16="http://schemas.microsoft.com/office/drawing/2014/main" id="{6763F29B-16C8-4B3F-8A21-95B73C5819F9}"/>
            </a:ext>
          </a:extLst>
        </xdr:cNvPr>
        <xdr:cNvSpPr/>
      </xdr:nvSpPr>
      <xdr:spPr>
        <a:xfrm>
          <a:off x="9839047" y="4530579"/>
          <a:ext cx="102870" cy="99625"/>
        </a:xfrm>
        <a:prstGeom prst="donut">
          <a:avLst/>
        </a:prstGeom>
        <a:solidFill>
          <a:srgbClr val="C00000"/>
        </a:solidFill>
        <a:ln>
          <a:solidFill>
            <a:srgbClr val="B91C28"/>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clientData/>
  </xdr:twoCellAnchor>
  <xdr:twoCellAnchor>
    <xdr:from>
      <xdr:col>11</xdr:col>
      <xdr:colOff>247194</xdr:colOff>
      <xdr:row>23</xdr:row>
      <xdr:rowOff>15729</xdr:rowOff>
    </xdr:from>
    <xdr:to>
      <xdr:col>11</xdr:col>
      <xdr:colOff>350064</xdr:colOff>
      <xdr:row>23</xdr:row>
      <xdr:rowOff>115354</xdr:rowOff>
    </xdr:to>
    <xdr:sp macro="" textlink="">
      <xdr:nvSpPr>
        <xdr:cNvPr id="8" name="Circle: Hollow 7">
          <a:extLst>
            <a:ext uri="{FF2B5EF4-FFF2-40B4-BE49-F238E27FC236}">
              <a16:creationId xmlns:a16="http://schemas.microsoft.com/office/drawing/2014/main" id="{F2336D5B-12CA-4E85-8432-F6C1938C5D28}"/>
            </a:ext>
          </a:extLst>
        </xdr:cNvPr>
        <xdr:cNvSpPr/>
      </xdr:nvSpPr>
      <xdr:spPr>
        <a:xfrm>
          <a:off x="10419894" y="4521054"/>
          <a:ext cx="102870" cy="99625"/>
        </a:xfrm>
        <a:prstGeom prst="donut">
          <a:avLst/>
        </a:prstGeom>
        <a:solidFill>
          <a:srgbClr val="C00000"/>
        </a:solidFill>
        <a:ln>
          <a:solidFill>
            <a:srgbClr val="B91C28"/>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clientData/>
  </xdr:twoCellAnchor>
  <xdr:twoCellAnchor>
    <xdr:from>
      <xdr:col>12</xdr:col>
      <xdr:colOff>259337</xdr:colOff>
      <xdr:row>23</xdr:row>
      <xdr:rowOff>15729</xdr:rowOff>
    </xdr:from>
    <xdr:to>
      <xdr:col>12</xdr:col>
      <xdr:colOff>362207</xdr:colOff>
      <xdr:row>23</xdr:row>
      <xdr:rowOff>115354</xdr:rowOff>
    </xdr:to>
    <xdr:sp macro="" textlink="">
      <xdr:nvSpPr>
        <xdr:cNvPr id="9" name="Circle: Hollow 8">
          <a:extLst>
            <a:ext uri="{FF2B5EF4-FFF2-40B4-BE49-F238E27FC236}">
              <a16:creationId xmlns:a16="http://schemas.microsoft.com/office/drawing/2014/main" id="{CE832CD8-6111-4A66-B259-033BE1501B05}"/>
            </a:ext>
          </a:extLst>
        </xdr:cNvPr>
        <xdr:cNvSpPr/>
      </xdr:nvSpPr>
      <xdr:spPr>
        <a:xfrm>
          <a:off x="11041637" y="4521054"/>
          <a:ext cx="102870" cy="99625"/>
        </a:xfrm>
        <a:prstGeom prst="donut">
          <a:avLst/>
        </a:prstGeom>
        <a:solidFill>
          <a:srgbClr val="C00000"/>
        </a:solidFill>
        <a:ln>
          <a:solidFill>
            <a:srgbClr val="B91C28"/>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clientData/>
  </xdr:twoCellAnchor>
  <xdr:twoCellAnchor>
    <xdr:from>
      <xdr:col>13</xdr:col>
      <xdr:colOff>269140</xdr:colOff>
      <xdr:row>23</xdr:row>
      <xdr:rowOff>15729</xdr:rowOff>
    </xdr:from>
    <xdr:to>
      <xdr:col>13</xdr:col>
      <xdr:colOff>372010</xdr:colOff>
      <xdr:row>23</xdr:row>
      <xdr:rowOff>115354</xdr:rowOff>
    </xdr:to>
    <xdr:sp macro="" textlink="">
      <xdr:nvSpPr>
        <xdr:cNvPr id="10" name="Circle: Hollow 9">
          <a:extLst>
            <a:ext uri="{FF2B5EF4-FFF2-40B4-BE49-F238E27FC236}">
              <a16:creationId xmlns:a16="http://schemas.microsoft.com/office/drawing/2014/main" id="{E04A99D1-EA59-4C5B-A8F9-4C9F70A4AA59}"/>
            </a:ext>
          </a:extLst>
        </xdr:cNvPr>
        <xdr:cNvSpPr/>
      </xdr:nvSpPr>
      <xdr:spPr>
        <a:xfrm>
          <a:off x="11661040" y="4521054"/>
          <a:ext cx="102870" cy="99625"/>
        </a:xfrm>
        <a:prstGeom prst="donut">
          <a:avLst/>
        </a:prstGeom>
        <a:solidFill>
          <a:srgbClr val="C00000"/>
        </a:solidFill>
        <a:ln>
          <a:solidFill>
            <a:srgbClr val="B91C28"/>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clientData/>
  </xdr:twoCellAnchor>
  <xdr:twoCellAnchor>
    <xdr:from>
      <xdr:col>14</xdr:col>
      <xdr:colOff>544242</xdr:colOff>
      <xdr:row>22</xdr:row>
      <xdr:rowOff>311004</xdr:rowOff>
    </xdr:from>
    <xdr:to>
      <xdr:col>15</xdr:col>
      <xdr:colOff>37512</xdr:colOff>
      <xdr:row>23</xdr:row>
      <xdr:rowOff>96304</xdr:rowOff>
    </xdr:to>
    <xdr:sp macro="" textlink="">
      <xdr:nvSpPr>
        <xdr:cNvPr id="11" name="Circle: Hollow 10">
          <a:extLst>
            <a:ext uri="{FF2B5EF4-FFF2-40B4-BE49-F238E27FC236}">
              <a16:creationId xmlns:a16="http://schemas.microsoft.com/office/drawing/2014/main" id="{DA432E2F-EF1A-413D-994B-E8B2B58A72F1}"/>
            </a:ext>
          </a:extLst>
        </xdr:cNvPr>
        <xdr:cNvSpPr/>
      </xdr:nvSpPr>
      <xdr:spPr>
        <a:xfrm>
          <a:off x="12545742" y="4502004"/>
          <a:ext cx="102870" cy="99625"/>
        </a:xfrm>
        <a:prstGeom prst="donut">
          <a:avLst/>
        </a:prstGeom>
        <a:solidFill>
          <a:srgbClr val="C00000"/>
        </a:solidFill>
        <a:ln>
          <a:solidFill>
            <a:srgbClr val="B91C28"/>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clientData/>
  </xdr:twoCellAnchor>
  <xdr:twoCellAnchor>
    <xdr:from>
      <xdr:col>9</xdr:col>
      <xdr:colOff>554763</xdr:colOff>
      <xdr:row>4</xdr:row>
      <xdr:rowOff>20250</xdr:rowOff>
    </xdr:from>
    <xdr:to>
      <xdr:col>10</xdr:col>
      <xdr:colOff>88454</xdr:colOff>
      <xdr:row>4</xdr:row>
      <xdr:rowOff>145094</xdr:rowOff>
    </xdr:to>
    <xdr:sp macro="" textlink="">
      <xdr:nvSpPr>
        <xdr:cNvPr id="12" name="Isosceles Triangle 11">
          <a:extLst>
            <a:ext uri="{FF2B5EF4-FFF2-40B4-BE49-F238E27FC236}">
              <a16:creationId xmlns:a16="http://schemas.microsoft.com/office/drawing/2014/main" id="{70D11B58-94C4-476B-A5F3-DDCD1520230D}"/>
            </a:ext>
          </a:extLst>
        </xdr:cNvPr>
        <xdr:cNvSpPr/>
      </xdr:nvSpPr>
      <xdr:spPr>
        <a:xfrm>
          <a:off x="9508263" y="782250"/>
          <a:ext cx="143291" cy="124844"/>
        </a:xfrm>
        <a:prstGeom prst="triangle">
          <a:avLst/>
        </a:prstGeom>
        <a:solidFill>
          <a:srgbClr val="B91C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clientData/>
  </xdr:twoCellAnchor>
  <xdr:twoCellAnchor>
    <xdr:from>
      <xdr:col>23</xdr:col>
      <xdr:colOff>76200</xdr:colOff>
      <xdr:row>17</xdr:row>
      <xdr:rowOff>0</xdr:rowOff>
    </xdr:from>
    <xdr:to>
      <xdr:col>25</xdr:col>
      <xdr:colOff>453599</xdr:colOff>
      <xdr:row>24</xdr:row>
      <xdr:rowOff>151992</xdr:rowOff>
    </xdr:to>
    <xdr:grpSp>
      <xdr:nvGrpSpPr>
        <xdr:cNvPr id="13" name="Group 12">
          <a:extLst>
            <a:ext uri="{FF2B5EF4-FFF2-40B4-BE49-F238E27FC236}">
              <a16:creationId xmlns:a16="http://schemas.microsoft.com/office/drawing/2014/main" id="{6CD811DE-CFB8-42F7-84ED-22C3FD483380}"/>
            </a:ext>
          </a:extLst>
        </xdr:cNvPr>
        <xdr:cNvGrpSpPr/>
      </xdr:nvGrpSpPr>
      <xdr:grpSpPr>
        <a:xfrm>
          <a:off x="17564100" y="3076575"/>
          <a:ext cx="1596599" cy="1418817"/>
          <a:chOff x="7547726" y="1099722"/>
          <a:chExt cx="1596599" cy="1801704"/>
        </a:xfrm>
      </xdr:grpSpPr>
      <xdr:sp macro="" textlink="">
        <xdr:nvSpPr>
          <xdr:cNvPr id="14" name="TextBox 8">
            <a:extLst>
              <a:ext uri="{FF2B5EF4-FFF2-40B4-BE49-F238E27FC236}">
                <a16:creationId xmlns:a16="http://schemas.microsoft.com/office/drawing/2014/main" id="{916CB892-0BC8-4C83-5474-536948CCE55E}"/>
              </a:ext>
            </a:extLst>
          </xdr:cNvPr>
          <xdr:cNvSpPr txBox="1"/>
        </xdr:nvSpPr>
        <xdr:spPr>
          <a:xfrm>
            <a:off x="7547726" y="1099722"/>
            <a:ext cx="1596599" cy="1801704"/>
          </a:xfrm>
          <a:prstGeom prst="rect">
            <a:avLst/>
          </a:prstGeom>
          <a:solidFill>
            <a:srgbClr val="FFFFFF"/>
          </a:solidFill>
          <a:ln w="9525" cap="flat">
            <a:noFill/>
            <a:prstDash val="solid"/>
            <a:miter/>
          </a:ln>
          <a:effectLst>
            <a:outerShdw blurRad="50800" sx="102000" sy="102000" algn="ctr" rotWithShape="0">
              <a:prstClr val="black">
                <a:alpha val="17000"/>
              </a:prstClr>
            </a:outerShdw>
          </a:effectLst>
        </xdr:spPr>
        <xdr:txBody>
          <a:bodyPr wrap="square" rtlCol="0" anchor="t"/>
          <a:lstStyle>
            <a:defPPr>
              <a:defRPr lang="en-US"/>
            </a:defPPr>
            <a:lvl1pPr marL="0" marR="0" lvl="0" indent="0" algn="l" defTabSz="457200" rtl="0" eaLnBrk="1" fontAlgn="auto" latinLnBrk="0" hangingPunct="1">
              <a:lnSpc>
                <a:spcPct val="100000"/>
              </a:lnSpc>
              <a:spcBef>
                <a:spcPts val="0"/>
              </a:spcBef>
              <a:spcAft>
                <a:spcPts val="0"/>
              </a:spcAft>
              <a:buClrTx/>
              <a:buSzTx/>
              <a:buFontTx/>
              <a:buNone/>
              <a:tabLst/>
              <a:defRPr kumimoji="0" sz="1800" b="0" i="0" u="none" strike="noStrike" kern="1200" cap="none" spc="0" normalizeH="0" baseline="0">
                <a:ln>
                  <a:noFill/>
                </a:ln>
                <a:solidFill>
                  <a:srgbClr val="000048"/>
                </a:solidFill>
                <a:effectLst/>
                <a:uLnTx/>
                <a:uFillTx/>
                <a:latin typeface="Arial" panose="020B0604020202020204"/>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GB" sz="825" b="1"/>
              <a:t>Validation gateways with </a:t>
            </a:r>
          </a:p>
          <a:p>
            <a:r>
              <a:rPr lang="en-GB" sz="825" b="1"/>
              <a:t>Sanofi</a:t>
            </a:r>
          </a:p>
        </xdr:txBody>
      </xdr:sp>
      <xdr:sp macro="" textlink="">
        <xdr:nvSpPr>
          <xdr:cNvPr id="15" name="Isosceles Triangle 14">
            <a:extLst>
              <a:ext uri="{FF2B5EF4-FFF2-40B4-BE49-F238E27FC236}">
                <a16:creationId xmlns:a16="http://schemas.microsoft.com/office/drawing/2014/main" id="{E18AA074-6249-A50F-C211-A52FB3FAE390}"/>
              </a:ext>
            </a:extLst>
          </xdr:cNvPr>
          <xdr:cNvSpPr/>
        </xdr:nvSpPr>
        <xdr:spPr>
          <a:xfrm>
            <a:off x="7662777" y="1725855"/>
            <a:ext cx="143291" cy="124844"/>
          </a:xfrm>
          <a:prstGeom prst="triangle">
            <a:avLst/>
          </a:prstGeom>
          <a:solidFill>
            <a:srgbClr val="B91C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sp macro="" textlink="">
        <xdr:nvSpPr>
          <xdr:cNvPr id="16" name="Circle: Hollow 15">
            <a:extLst>
              <a:ext uri="{FF2B5EF4-FFF2-40B4-BE49-F238E27FC236}">
                <a16:creationId xmlns:a16="http://schemas.microsoft.com/office/drawing/2014/main" id="{583979C8-6857-CC9D-8016-7BB77B87A4E1}"/>
              </a:ext>
            </a:extLst>
          </xdr:cNvPr>
          <xdr:cNvSpPr/>
        </xdr:nvSpPr>
        <xdr:spPr>
          <a:xfrm>
            <a:off x="7689799" y="2081631"/>
            <a:ext cx="102870" cy="96450"/>
          </a:xfrm>
          <a:prstGeom prst="donut">
            <a:avLst/>
          </a:prstGeom>
          <a:solidFill>
            <a:srgbClr val="C00000"/>
          </a:solidFill>
          <a:ln>
            <a:solidFill>
              <a:srgbClr val="B91C28"/>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sp macro="" textlink="">
        <xdr:nvSpPr>
          <xdr:cNvPr id="17" name="Star: 5 Points 16">
            <a:extLst>
              <a:ext uri="{FF2B5EF4-FFF2-40B4-BE49-F238E27FC236}">
                <a16:creationId xmlns:a16="http://schemas.microsoft.com/office/drawing/2014/main" id="{54D111DD-121F-F27E-1524-5438794A47CE}"/>
              </a:ext>
            </a:extLst>
          </xdr:cNvPr>
          <xdr:cNvSpPr/>
        </xdr:nvSpPr>
        <xdr:spPr>
          <a:xfrm>
            <a:off x="7631553" y="1405332"/>
            <a:ext cx="205740" cy="192899"/>
          </a:xfrm>
          <a:prstGeom prst="star5">
            <a:avLst/>
          </a:prstGeom>
          <a:solidFill>
            <a:srgbClr val="E9C71D"/>
          </a:solidFill>
          <a:ln>
            <a:solidFill>
              <a:srgbClr val="B91C28"/>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sp macro="" textlink="">
        <xdr:nvSpPr>
          <xdr:cNvPr id="18" name="TextBox 21">
            <a:extLst>
              <a:ext uri="{FF2B5EF4-FFF2-40B4-BE49-F238E27FC236}">
                <a16:creationId xmlns:a16="http://schemas.microsoft.com/office/drawing/2014/main" id="{896F808E-3131-E6C1-77EB-F9B0F657778D}"/>
              </a:ext>
            </a:extLst>
          </xdr:cNvPr>
          <xdr:cNvSpPr txBox="1"/>
        </xdr:nvSpPr>
        <xdr:spPr>
          <a:xfrm>
            <a:off x="7853877" y="1431279"/>
            <a:ext cx="1200711" cy="196208"/>
          </a:xfrm>
          <a:prstGeom prst="rect">
            <a:avLst/>
          </a:prstGeom>
          <a:noFill/>
        </xdr:spPr>
        <xdr:txBody>
          <a:bodyPr wrap="square">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GB" sz="675" i="1">
                <a:latin typeface="+mj-lt"/>
              </a:rPr>
              <a:t>Infrastructure Readiness</a:t>
            </a:r>
          </a:p>
        </xdr:txBody>
      </xdr:sp>
      <xdr:sp macro="" textlink="">
        <xdr:nvSpPr>
          <xdr:cNvPr id="19" name="TextBox 22">
            <a:extLst>
              <a:ext uri="{FF2B5EF4-FFF2-40B4-BE49-F238E27FC236}">
                <a16:creationId xmlns:a16="http://schemas.microsoft.com/office/drawing/2014/main" id="{B54D9708-930C-3657-6D62-B1D7F379FBFB}"/>
              </a:ext>
            </a:extLst>
          </xdr:cNvPr>
          <xdr:cNvSpPr txBox="1"/>
        </xdr:nvSpPr>
        <xdr:spPr>
          <a:xfrm>
            <a:off x="7853877" y="1701707"/>
            <a:ext cx="1200711" cy="196208"/>
          </a:xfrm>
          <a:prstGeom prst="rect">
            <a:avLst/>
          </a:prstGeom>
          <a:noFill/>
        </xdr:spPr>
        <xdr:txBody>
          <a:bodyPr wrap="square">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GB" sz="675" i="1">
                <a:latin typeface="+mj-lt"/>
              </a:rPr>
              <a:t>Review &amp; Sign off</a:t>
            </a:r>
          </a:p>
        </xdr:txBody>
      </xdr:sp>
      <xdr:sp macro="" textlink="">
        <xdr:nvSpPr>
          <xdr:cNvPr id="20" name="TextBox 23">
            <a:extLst>
              <a:ext uri="{FF2B5EF4-FFF2-40B4-BE49-F238E27FC236}">
                <a16:creationId xmlns:a16="http://schemas.microsoft.com/office/drawing/2014/main" id="{BC466AA6-D1AA-74AB-51F8-3530340D51DE}"/>
              </a:ext>
            </a:extLst>
          </xdr:cNvPr>
          <xdr:cNvSpPr txBox="1"/>
        </xdr:nvSpPr>
        <xdr:spPr>
          <a:xfrm>
            <a:off x="7846685" y="2028981"/>
            <a:ext cx="1200711" cy="196208"/>
          </a:xfrm>
          <a:prstGeom prst="rect">
            <a:avLst/>
          </a:prstGeom>
          <a:noFill/>
        </xdr:spPr>
        <xdr:txBody>
          <a:bodyPr wrap="square">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GB" sz="675" i="1">
                <a:latin typeface="+mj-lt"/>
              </a:rPr>
              <a:t>Deployment Sign off</a:t>
            </a:r>
          </a:p>
        </xdr:txBody>
      </xdr:sp>
      <xdr:sp macro="" textlink="">
        <xdr:nvSpPr>
          <xdr:cNvPr id="21" name="Star: 5 Points 20">
            <a:extLst>
              <a:ext uri="{FF2B5EF4-FFF2-40B4-BE49-F238E27FC236}">
                <a16:creationId xmlns:a16="http://schemas.microsoft.com/office/drawing/2014/main" id="{69823CE1-7B08-CFAD-214C-04F313D67FB4}"/>
              </a:ext>
            </a:extLst>
          </xdr:cNvPr>
          <xdr:cNvSpPr/>
        </xdr:nvSpPr>
        <xdr:spPr>
          <a:xfrm>
            <a:off x="7631553" y="2332399"/>
            <a:ext cx="205740" cy="192899"/>
          </a:xfrm>
          <a:prstGeom prst="star5">
            <a:avLst/>
          </a:prstGeom>
          <a:solidFill>
            <a:schemeClr val="accent6"/>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sp macro="" textlink="">
        <xdr:nvSpPr>
          <xdr:cNvPr id="22" name="TextBox 25">
            <a:extLst>
              <a:ext uri="{FF2B5EF4-FFF2-40B4-BE49-F238E27FC236}">
                <a16:creationId xmlns:a16="http://schemas.microsoft.com/office/drawing/2014/main" id="{9992E464-11C5-F3FF-E0A8-7BFF6357EC7F}"/>
              </a:ext>
            </a:extLst>
          </xdr:cNvPr>
          <xdr:cNvSpPr txBox="1"/>
        </xdr:nvSpPr>
        <xdr:spPr>
          <a:xfrm>
            <a:off x="7902063" y="2334626"/>
            <a:ext cx="1200711" cy="196208"/>
          </a:xfrm>
          <a:prstGeom prst="rect">
            <a:avLst/>
          </a:prstGeom>
          <a:noFill/>
        </xdr:spPr>
        <xdr:txBody>
          <a:bodyPr wrap="square">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GB" sz="675" i="1">
                <a:latin typeface="+mj-lt"/>
              </a:rPr>
              <a:t>End of Hypercare</a:t>
            </a:r>
          </a:p>
        </xdr:txBody>
      </xdr:sp>
      <xdr:sp macro="" textlink="">
        <xdr:nvSpPr>
          <xdr:cNvPr id="23" name="Star: 5 Points 22">
            <a:extLst>
              <a:ext uri="{FF2B5EF4-FFF2-40B4-BE49-F238E27FC236}">
                <a16:creationId xmlns:a16="http://schemas.microsoft.com/office/drawing/2014/main" id="{2A4ECE86-50B8-77CC-117A-D4118D2EEA51}"/>
              </a:ext>
            </a:extLst>
          </xdr:cNvPr>
          <xdr:cNvSpPr/>
        </xdr:nvSpPr>
        <xdr:spPr>
          <a:xfrm>
            <a:off x="7640460" y="2657500"/>
            <a:ext cx="205740" cy="192899"/>
          </a:xfrm>
          <a:prstGeom prst="star5">
            <a:avLst/>
          </a:prstGeom>
          <a:solidFill>
            <a:srgbClr val="7030A0"/>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sp macro="" textlink="">
        <xdr:nvSpPr>
          <xdr:cNvPr id="24" name="TextBox 55">
            <a:extLst>
              <a:ext uri="{FF2B5EF4-FFF2-40B4-BE49-F238E27FC236}">
                <a16:creationId xmlns:a16="http://schemas.microsoft.com/office/drawing/2014/main" id="{963EB133-B2D4-6802-343E-2A0DBEF7430D}"/>
              </a:ext>
            </a:extLst>
          </xdr:cNvPr>
          <xdr:cNvSpPr txBox="1"/>
        </xdr:nvSpPr>
        <xdr:spPr>
          <a:xfrm>
            <a:off x="7891793" y="2672893"/>
            <a:ext cx="1200711" cy="205836"/>
          </a:xfrm>
          <a:prstGeom prst="rect">
            <a:avLst/>
          </a:prstGeom>
          <a:noFill/>
        </xdr:spPr>
        <xdr:txBody>
          <a:bodyPr wrap="square">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GB" sz="675" i="1">
                <a:latin typeface="+mj-lt"/>
              </a:rPr>
              <a:t>Mashery Decommisioning</a:t>
            </a:r>
          </a:p>
        </xdr:txBody>
      </xdr:sp>
    </xdr:grpSp>
    <xdr:clientData/>
  </xdr:twoCellAnchor>
  <xdr:twoCellAnchor editAs="oneCell">
    <xdr:from>
      <xdr:col>9</xdr:col>
      <xdr:colOff>235414</xdr:colOff>
      <xdr:row>19</xdr:row>
      <xdr:rowOff>98919</xdr:rowOff>
    </xdr:from>
    <xdr:to>
      <xdr:col>9</xdr:col>
      <xdr:colOff>372574</xdr:colOff>
      <xdr:row>20</xdr:row>
      <xdr:rowOff>43369</xdr:rowOff>
    </xdr:to>
    <xdr:pic>
      <xdr:nvPicPr>
        <xdr:cNvPr id="25" name="Picture 24" descr="Scrum, corporate, sprint, agile, methodology icon - Download on Iconfinder">
          <a:extLst>
            <a:ext uri="{FF2B5EF4-FFF2-40B4-BE49-F238E27FC236}">
              <a16:creationId xmlns:a16="http://schemas.microsoft.com/office/drawing/2014/main" id="{F715096A-6EF7-4E4C-BBB9-E15B5BE90B52}"/>
            </a:ext>
          </a:extLst>
        </xdr:cNvPr>
        <xdr:cNvPicPr>
          <a:picLocks noChangeAspect="1" noChangeArrowheads="1"/>
        </xdr:cNvPicPr>
      </xdr:nvPicPr>
      <xdr:blipFill>
        <a:blip xmlns:r="http://schemas.openxmlformats.org/officeDocument/2006/relationships" r:embed="rId1" cstate="email">
          <a:duotone>
            <a:schemeClr val="accent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9188914" y="3718419"/>
          <a:ext cx="137160" cy="13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308653</xdr:colOff>
      <xdr:row>19</xdr:row>
      <xdr:rowOff>98919</xdr:rowOff>
    </xdr:from>
    <xdr:to>
      <xdr:col>10</xdr:col>
      <xdr:colOff>445813</xdr:colOff>
      <xdr:row>20</xdr:row>
      <xdr:rowOff>43369</xdr:rowOff>
    </xdr:to>
    <xdr:pic>
      <xdr:nvPicPr>
        <xdr:cNvPr id="26" name="Picture 25" descr="Scrum, corporate, sprint, agile, methodology icon - Download on Iconfinder">
          <a:extLst>
            <a:ext uri="{FF2B5EF4-FFF2-40B4-BE49-F238E27FC236}">
              <a16:creationId xmlns:a16="http://schemas.microsoft.com/office/drawing/2014/main" id="{CFF5821F-E7A6-46F2-A752-F631A7E3AA2E}"/>
            </a:ext>
          </a:extLst>
        </xdr:cNvPr>
        <xdr:cNvPicPr>
          <a:picLocks noChangeAspect="1" noChangeArrowheads="1"/>
        </xdr:cNvPicPr>
      </xdr:nvPicPr>
      <xdr:blipFill>
        <a:blip xmlns:r="http://schemas.openxmlformats.org/officeDocument/2006/relationships" r:embed="rId1" cstate="email">
          <a:duotone>
            <a:schemeClr val="accent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9871753" y="3718419"/>
          <a:ext cx="137160" cy="13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225927</xdr:colOff>
      <xdr:row>19</xdr:row>
      <xdr:rowOff>89394</xdr:rowOff>
    </xdr:from>
    <xdr:to>
      <xdr:col>11</xdr:col>
      <xdr:colOff>363087</xdr:colOff>
      <xdr:row>20</xdr:row>
      <xdr:rowOff>33844</xdr:rowOff>
    </xdr:to>
    <xdr:pic>
      <xdr:nvPicPr>
        <xdr:cNvPr id="27" name="Picture 26" descr="Scrum, corporate, sprint, agile, methodology icon - Download on Iconfinder">
          <a:extLst>
            <a:ext uri="{FF2B5EF4-FFF2-40B4-BE49-F238E27FC236}">
              <a16:creationId xmlns:a16="http://schemas.microsoft.com/office/drawing/2014/main" id="{1FD7724B-68F5-46E5-9F93-B459515B2816}"/>
            </a:ext>
          </a:extLst>
        </xdr:cNvPr>
        <xdr:cNvPicPr>
          <a:picLocks noChangeAspect="1" noChangeArrowheads="1"/>
        </xdr:cNvPicPr>
      </xdr:nvPicPr>
      <xdr:blipFill>
        <a:blip xmlns:r="http://schemas.openxmlformats.org/officeDocument/2006/relationships" r:embed="rId1" cstate="email">
          <a:duotone>
            <a:schemeClr val="accent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0398627" y="3708894"/>
          <a:ext cx="137160" cy="13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322535</xdr:colOff>
      <xdr:row>19</xdr:row>
      <xdr:rowOff>105269</xdr:rowOff>
    </xdr:from>
    <xdr:to>
      <xdr:col>12</xdr:col>
      <xdr:colOff>459695</xdr:colOff>
      <xdr:row>20</xdr:row>
      <xdr:rowOff>49719</xdr:rowOff>
    </xdr:to>
    <xdr:pic>
      <xdr:nvPicPr>
        <xdr:cNvPr id="28" name="Picture 27" descr="Scrum, corporate, sprint, agile, methodology icon - Download on Iconfinder">
          <a:extLst>
            <a:ext uri="{FF2B5EF4-FFF2-40B4-BE49-F238E27FC236}">
              <a16:creationId xmlns:a16="http://schemas.microsoft.com/office/drawing/2014/main" id="{D26D5379-A654-4EDD-82AF-BE15966654B1}"/>
            </a:ext>
          </a:extLst>
        </xdr:cNvPr>
        <xdr:cNvPicPr>
          <a:picLocks noChangeAspect="1" noChangeArrowheads="1"/>
        </xdr:cNvPicPr>
      </xdr:nvPicPr>
      <xdr:blipFill>
        <a:blip xmlns:r="http://schemas.openxmlformats.org/officeDocument/2006/relationships" r:embed="rId1" cstate="email">
          <a:duotone>
            <a:schemeClr val="accent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1104835" y="3724769"/>
          <a:ext cx="137160" cy="13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9525</xdr:colOff>
      <xdr:row>20</xdr:row>
      <xdr:rowOff>69708</xdr:rowOff>
    </xdr:from>
    <xdr:to>
      <xdr:col>10</xdr:col>
      <xdr:colOff>9525</xdr:colOff>
      <xdr:row>20</xdr:row>
      <xdr:rowOff>138113</xdr:rowOff>
    </xdr:to>
    <xdr:sp macro="" textlink="">
      <xdr:nvSpPr>
        <xdr:cNvPr id="29" name="Rectangle: Rounded Corners 28">
          <a:extLst>
            <a:ext uri="{FF2B5EF4-FFF2-40B4-BE49-F238E27FC236}">
              <a16:creationId xmlns:a16="http://schemas.microsoft.com/office/drawing/2014/main" id="{44C2D684-6BB5-4941-B36C-EDC68FC0B738}"/>
            </a:ext>
          </a:extLst>
        </xdr:cNvPr>
        <xdr:cNvSpPr/>
      </xdr:nvSpPr>
      <xdr:spPr>
        <a:xfrm>
          <a:off x="8963025" y="3879708"/>
          <a:ext cx="609600" cy="68405"/>
        </a:xfrm>
        <a:prstGeom prst="roundRect">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solidFill>
              <a:srgbClr val="002060"/>
            </a:solidFill>
            <a:latin typeface="+mj-lt"/>
          </a:endParaRPr>
        </a:p>
      </xdr:txBody>
    </xdr:sp>
    <xdr:clientData/>
  </xdr:twoCellAnchor>
  <xdr:twoCellAnchor>
    <xdr:from>
      <xdr:col>10</xdr:col>
      <xdr:colOff>0</xdr:colOff>
      <xdr:row>24</xdr:row>
      <xdr:rowOff>55019</xdr:rowOff>
    </xdr:from>
    <xdr:to>
      <xdr:col>16</xdr:col>
      <xdr:colOff>14400</xdr:colOff>
      <xdr:row>24</xdr:row>
      <xdr:rowOff>127019</xdr:rowOff>
    </xdr:to>
    <xdr:sp macro="" textlink="">
      <xdr:nvSpPr>
        <xdr:cNvPr id="30" name="Rectangle: Rounded Corners 29">
          <a:extLst>
            <a:ext uri="{FF2B5EF4-FFF2-40B4-BE49-F238E27FC236}">
              <a16:creationId xmlns:a16="http://schemas.microsoft.com/office/drawing/2014/main" id="{6D9ECCC1-A326-4AF6-B58A-B2E7D7F372B1}"/>
            </a:ext>
          </a:extLst>
        </xdr:cNvPr>
        <xdr:cNvSpPr/>
      </xdr:nvSpPr>
      <xdr:spPr>
        <a:xfrm>
          <a:off x="9563100" y="4874669"/>
          <a:ext cx="3672000" cy="72000"/>
        </a:xfrm>
        <a:prstGeom prst="roundRect">
          <a:avLst/>
        </a:prstGeom>
        <a:solidFill>
          <a:srgbClr val="92D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endParaRPr lang="en-GB" sz="675">
            <a:latin typeface="+mj-lt"/>
          </a:endParaRPr>
        </a:p>
      </xdr:txBody>
    </xdr:sp>
    <xdr:clientData/>
  </xdr:twoCellAnchor>
  <xdr:twoCellAnchor>
    <xdr:from>
      <xdr:col>15</xdr:col>
      <xdr:colOff>515054</xdr:colOff>
      <xdr:row>23</xdr:row>
      <xdr:rowOff>304800</xdr:rowOff>
    </xdr:from>
    <xdr:to>
      <xdr:col>16</xdr:col>
      <xdr:colOff>95249</xdr:colOff>
      <xdr:row>25</xdr:row>
      <xdr:rowOff>11924</xdr:rowOff>
    </xdr:to>
    <xdr:sp macro="" textlink="">
      <xdr:nvSpPr>
        <xdr:cNvPr id="31" name="Star: 5 Points 30">
          <a:extLst>
            <a:ext uri="{FF2B5EF4-FFF2-40B4-BE49-F238E27FC236}">
              <a16:creationId xmlns:a16="http://schemas.microsoft.com/office/drawing/2014/main" id="{8F865EAD-B049-40EB-B578-F7AED069C38E}"/>
            </a:ext>
          </a:extLst>
        </xdr:cNvPr>
        <xdr:cNvSpPr/>
      </xdr:nvSpPr>
      <xdr:spPr>
        <a:xfrm>
          <a:off x="13126154" y="4810125"/>
          <a:ext cx="189795" cy="211949"/>
        </a:xfrm>
        <a:prstGeom prst="star5">
          <a:avLst/>
        </a:prstGeom>
        <a:solidFill>
          <a:schemeClr val="accent6"/>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clientData/>
  </xdr:twoCellAnchor>
  <xdr:twoCellAnchor>
    <xdr:from>
      <xdr:col>15</xdr:col>
      <xdr:colOff>6350</xdr:colOff>
      <xdr:row>25</xdr:row>
      <xdr:rowOff>79375</xdr:rowOff>
    </xdr:from>
    <xdr:to>
      <xdr:col>20</xdr:col>
      <xdr:colOff>0</xdr:colOff>
      <xdr:row>25</xdr:row>
      <xdr:rowOff>140880</xdr:rowOff>
    </xdr:to>
    <xdr:sp macro="" textlink="">
      <xdr:nvSpPr>
        <xdr:cNvPr id="32" name="Rectangle: Rounded Corners 31">
          <a:extLst>
            <a:ext uri="{FF2B5EF4-FFF2-40B4-BE49-F238E27FC236}">
              <a16:creationId xmlns:a16="http://schemas.microsoft.com/office/drawing/2014/main" id="{E1334134-6439-4FE5-9272-C86471BE7511}"/>
            </a:ext>
          </a:extLst>
        </xdr:cNvPr>
        <xdr:cNvSpPr/>
      </xdr:nvSpPr>
      <xdr:spPr>
        <a:xfrm>
          <a:off x="12617450" y="5089525"/>
          <a:ext cx="3041650" cy="61505"/>
        </a:xfrm>
        <a:prstGeom prst="roundRect">
          <a:avLst/>
        </a:prstGeom>
        <a:solidFill>
          <a:srgbClr val="97999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clientData/>
  </xdr:twoCellAnchor>
  <xdr:twoCellAnchor>
    <xdr:from>
      <xdr:col>19</xdr:col>
      <xdr:colOff>523875</xdr:colOff>
      <xdr:row>25</xdr:row>
      <xdr:rowOff>24261</xdr:rowOff>
    </xdr:from>
    <xdr:to>
      <xdr:col>20</xdr:col>
      <xdr:colOff>114300</xdr:colOff>
      <xdr:row>26</xdr:row>
      <xdr:rowOff>28575</xdr:rowOff>
    </xdr:to>
    <xdr:sp macro="" textlink="">
      <xdr:nvSpPr>
        <xdr:cNvPr id="33" name="Star: 5 Points 32">
          <a:extLst>
            <a:ext uri="{FF2B5EF4-FFF2-40B4-BE49-F238E27FC236}">
              <a16:creationId xmlns:a16="http://schemas.microsoft.com/office/drawing/2014/main" id="{C85E91B9-C5DD-4297-982E-4D89080D7FD2}"/>
            </a:ext>
          </a:extLst>
        </xdr:cNvPr>
        <xdr:cNvSpPr/>
      </xdr:nvSpPr>
      <xdr:spPr>
        <a:xfrm>
          <a:off x="15573375" y="5034411"/>
          <a:ext cx="200025" cy="194814"/>
        </a:xfrm>
        <a:prstGeom prst="star5">
          <a:avLst/>
        </a:prstGeom>
        <a:solidFill>
          <a:srgbClr val="7030A0"/>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clientData/>
  </xdr:twoCellAnchor>
  <xdr:twoCellAnchor>
    <xdr:from>
      <xdr:col>10</xdr:col>
      <xdr:colOff>0</xdr:colOff>
      <xdr:row>20</xdr:row>
      <xdr:rowOff>69708</xdr:rowOff>
    </xdr:from>
    <xdr:to>
      <xdr:col>11</xdr:col>
      <xdr:colOff>0</xdr:colOff>
      <xdr:row>20</xdr:row>
      <xdr:rowOff>138113</xdr:rowOff>
    </xdr:to>
    <xdr:sp macro="" textlink="">
      <xdr:nvSpPr>
        <xdr:cNvPr id="34" name="Rectangle: Rounded Corners 33">
          <a:extLst>
            <a:ext uri="{FF2B5EF4-FFF2-40B4-BE49-F238E27FC236}">
              <a16:creationId xmlns:a16="http://schemas.microsoft.com/office/drawing/2014/main" id="{7310405E-C640-4F7B-8F08-943D4CBC9984}"/>
            </a:ext>
          </a:extLst>
        </xdr:cNvPr>
        <xdr:cNvSpPr/>
      </xdr:nvSpPr>
      <xdr:spPr>
        <a:xfrm>
          <a:off x="9563100" y="3879708"/>
          <a:ext cx="609600" cy="68405"/>
        </a:xfrm>
        <a:prstGeom prst="roundRect">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solidFill>
              <a:srgbClr val="002060"/>
            </a:solidFill>
            <a:latin typeface="+mj-lt"/>
          </a:endParaRPr>
        </a:p>
      </xdr:txBody>
    </xdr:sp>
    <xdr:clientData/>
  </xdr:twoCellAnchor>
  <xdr:twoCellAnchor>
    <xdr:from>
      <xdr:col>11</xdr:col>
      <xdr:colOff>9525</xdr:colOff>
      <xdr:row>20</xdr:row>
      <xdr:rowOff>69708</xdr:rowOff>
    </xdr:from>
    <xdr:to>
      <xdr:col>12</xdr:col>
      <xdr:colOff>9525</xdr:colOff>
      <xdr:row>20</xdr:row>
      <xdr:rowOff>138113</xdr:rowOff>
    </xdr:to>
    <xdr:sp macro="" textlink="">
      <xdr:nvSpPr>
        <xdr:cNvPr id="35" name="Rectangle: Rounded Corners 34">
          <a:extLst>
            <a:ext uri="{FF2B5EF4-FFF2-40B4-BE49-F238E27FC236}">
              <a16:creationId xmlns:a16="http://schemas.microsoft.com/office/drawing/2014/main" id="{82D147B4-AA7B-49F7-8325-DACC6DA01270}"/>
            </a:ext>
          </a:extLst>
        </xdr:cNvPr>
        <xdr:cNvSpPr/>
      </xdr:nvSpPr>
      <xdr:spPr>
        <a:xfrm>
          <a:off x="10182225" y="3879708"/>
          <a:ext cx="609600" cy="68405"/>
        </a:xfrm>
        <a:prstGeom prst="round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solidFill>
              <a:srgbClr val="002060"/>
            </a:solidFill>
            <a:latin typeface="+mj-lt"/>
          </a:endParaRPr>
        </a:p>
      </xdr:txBody>
    </xdr:sp>
    <xdr:clientData/>
  </xdr:twoCellAnchor>
  <xdr:twoCellAnchor>
    <xdr:from>
      <xdr:col>12</xdr:col>
      <xdr:colOff>0</xdr:colOff>
      <xdr:row>20</xdr:row>
      <xdr:rowOff>69708</xdr:rowOff>
    </xdr:from>
    <xdr:to>
      <xdr:col>13</xdr:col>
      <xdr:colOff>0</xdr:colOff>
      <xdr:row>20</xdr:row>
      <xdr:rowOff>138113</xdr:rowOff>
    </xdr:to>
    <xdr:sp macro="" textlink="">
      <xdr:nvSpPr>
        <xdr:cNvPr id="36" name="Rectangle: Rounded Corners 35">
          <a:extLst>
            <a:ext uri="{FF2B5EF4-FFF2-40B4-BE49-F238E27FC236}">
              <a16:creationId xmlns:a16="http://schemas.microsoft.com/office/drawing/2014/main" id="{A3D6AB5A-90A4-4D19-A599-4C11F6CFE806}"/>
            </a:ext>
          </a:extLst>
        </xdr:cNvPr>
        <xdr:cNvSpPr/>
      </xdr:nvSpPr>
      <xdr:spPr>
        <a:xfrm>
          <a:off x="10782300" y="3879708"/>
          <a:ext cx="609600" cy="68405"/>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solidFill>
              <a:srgbClr val="002060"/>
            </a:solidFill>
            <a:latin typeface="+mj-lt"/>
          </a:endParaRPr>
        </a:p>
      </xdr:txBody>
    </xdr:sp>
    <xdr:clientData/>
  </xdr:twoCellAnchor>
  <xdr:twoCellAnchor>
    <xdr:from>
      <xdr:col>9</xdr:col>
      <xdr:colOff>600771</xdr:colOff>
      <xdr:row>23</xdr:row>
      <xdr:rowOff>130636</xdr:rowOff>
    </xdr:from>
    <xdr:to>
      <xdr:col>15</xdr:col>
      <xdr:colOff>3171</xdr:colOff>
      <xdr:row>23</xdr:row>
      <xdr:rowOff>203200</xdr:rowOff>
    </xdr:to>
    <xdr:sp macro="" textlink="">
      <xdr:nvSpPr>
        <xdr:cNvPr id="37" name="Rectangle: Rounded Corners 36">
          <a:extLst>
            <a:ext uri="{FF2B5EF4-FFF2-40B4-BE49-F238E27FC236}">
              <a16:creationId xmlns:a16="http://schemas.microsoft.com/office/drawing/2014/main" id="{B957AAD5-A42E-4918-9008-82E3B9B2BBF4}"/>
            </a:ext>
          </a:extLst>
        </xdr:cNvPr>
        <xdr:cNvSpPr/>
      </xdr:nvSpPr>
      <xdr:spPr>
        <a:xfrm>
          <a:off x="9554271" y="4635961"/>
          <a:ext cx="3060000" cy="72564"/>
        </a:xfrm>
        <a:prstGeom prst="roundRect">
          <a:avLst/>
        </a:prstGeom>
        <a:solidFill>
          <a:schemeClr val="tx2">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endParaRPr lang="en-GB" sz="675">
            <a:latin typeface="+mj-lt"/>
          </a:endParaRPr>
        </a:p>
      </xdr:txBody>
    </xdr:sp>
    <xdr:clientData/>
  </xdr:twoCellAnchor>
  <xdr:twoCellAnchor>
    <xdr:from>
      <xdr:col>10</xdr:col>
      <xdr:colOff>696</xdr:colOff>
      <xdr:row>22</xdr:row>
      <xdr:rowOff>121111</xdr:rowOff>
    </xdr:from>
    <xdr:to>
      <xdr:col>14</xdr:col>
      <xdr:colOff>334296</xdr:colOff>
      <xdr:row>22</xdr:row>
      <xdr:rowOff>193675</xdr:rowOff>
    </xdr:to>
    <xdr:sp macro="" textlink="">
      <xdr:nvSpPr>
        <xdr:cNvPr id="38" name="Rectangle: Rounded Corners 37">
          <a:extLst>
            <a:ext uri="{FF2B5EF4-FFF2-40B4-BE49-F238E27FC236}">
              <a16:creationId xmlns:a16="http://schemas.microsoft.com/office/drawing/2014/main" id="{BE550AC2-8C5C-4A29-A3CC-DF0A6511FE96}"/>
            </a:ext>
          </a:extLst>
        </xdr:cNvPr>
        <xdr:cNvSpPr/>
      </xdr:nvSpPr>
      <xdr:spPr>
        <a:xfrm>
          <a:off x="9563796" y="4312111"/>
          <a:ext cx="2772000" cy="72564"/>
        </a:xfrm>
        <a:prstGeom prst="roundRect">
          <a:avLst/>
        </a:prstGeom>
        <a:solidFill>
          <a:schemeClr val="tx2">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endParaRPr lang="en-GB" sz="675">
            <a:latin typeface="+mj-lt"/>
          </a:endParaRPr>
        </a:p>
      </xdr:txBody>
    </xdr:sp>
    <xdr:clientData/>
  </xdr:twoCellAnchor>
  <xdr:twoCellAnchor>
    <xdr:from>
      <xdr:col>14</xdr:col>
      <xdr:colOff>537239</xdr:colOff>
      <xdr:row>23</xdr:row>
      <xdr:rowOff>84079</xdr:rowOff>
    </xdr:from>
    <xdr:to>
      <xdr:col>15</xdr:col>
      <xdr:colOff>70930</xdr:colOff>
      <xdr:row>23</xdr:row>
      <xdr:rowOff>208923</xdr:rowOff>
    </xdr:to>
    <xdr:sp macro="" textlink="">
      <xdr:nvSpPr>
        <xdr:cNvPr id="39" name="Isosceles Triangle 38">
          <a:extLst>
            <a:ext uri="{FF2B5EF4-FFF2-40B4-BE49-F238E27FC236}">
              <a16:creationId xmlns:a16="http://schemas.microsoft.com/office/drawing/2014/main" id="{69832B27-8A64-4418-9B5F-EC0BC5791096}"/>
            </a:ext>
          </a:extLst>
        </xdr:cNvPr>
        <xdr:cNvSpPr/>
      </xdr:nvSpPr>
      <xdr:spPr>
        <a:xfrm>
          <a:off x="12538739" y="4589404"/>
          <a:ext cx="143291" cy="124844"/>
        </a:xfrm>
        <a:prstGeom prst="triangle">
          <a:avLst/>
        </a:prstGeom>
        <a:solidFill>
          <a:srgbClr val="B91C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clientData/>
  </xdr:twoCellAnchor>
  <xdr:twoCellAnchor>
    <xdr:from>
      <xdr:col>21</xdr:col>
      <xdr:colOff>542647</xdr:colOff>
      <xdr:row>12</xdr:row>
      <xdr:rowOff>63354</xdr:rowOff>
    </xdr:from>
    <xdr:to>
      <xdr:col>22</xdr:col>
      <xdr:colOff>64492</xdr:colOff>
      <xdr:row>12</xdr:row>
      <xdr:rowOff>162979</xdr:rowOff>
    </xdr:to>
    <xdr:sp macro="" textlink="">
      <xdr:nvSpPr>
        <xdr:cNvPr id="40" name="Circle: Hollow 39">
          <a:extLst>
            <a:ext uri="{FF2B5EF4-FFF2-40B4-BE49-F238E27FC236}">
              <a16:creationId xmlns:a16="http://schemas.microsoft.com/office/drawing/2014/main" id="{350489A8-3761-4281-A26D-6BD02CDFF54E}"/>
            </a:ext>
          </a:extLst>
        </xdr:cNvPr>
        <xdr:cNvSpPr/>
      </xdr:nvSpPr>
      <xdr:spPr>
        <a:xfrm>
          <a:off x="16782772" y="2349354"/>
          <a:ext cx="131445" cy="99625"/>
        </a:xfrm>
        <a:prstGeom prst="donut">
          <a:avLst/>
        </a:prstGeom>
        <a:solidFill>
          <a:srgbClr val="C00000"/>
        </a:solidFill>
        <a:ln>
          <a:solidFill>
            <a:srgbClr val="B91C28"/>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clientData/>
  </xdr:twoCellAnchor>
  <xdr:twoCellAnchor>
    <xdr:from>
      <xdr:col>25</xdr:col>
      <xdr:colOff>542647</xdr:colOff>
      <xdr:row>12</xdr:row>
      <xdr:rowOff>53829</xdr:rowOff>
    </xdr:from>
    <xdr:to>
      <xdr:col>26</xdr:col>
      <xdr:colOff>64492</xdr:colOff>
      <xdr:row>12</xdr:row>
      <xdr:rowOff>153454</xdr:rowOff>
    </xdr:to>
    <xdr:sp macro="" textlink="">
      <xdr:nvSpPr>
        <xdr:cNvPr id="41" name="Circle: Hollow 40">
          <a:extLst>
            <a:ext uri="{FF2B5EF4-FFF2-40B4-BE49-F238E27FC236}">
              <a16:creationId xmlns:a16="http://schemas.microsoft.com/office/drawing/2014/main" id="{9B49EEC5-5C8A-434F-A5B5-4695DEFA8FC1}"/>
            </a:ext>
          </a:extLst>
        </xdr:cNvPr>
        <xdr:cNvSpPr/>
      </xdr:nvSpPr>
      <xdr:spPr>
        <a:xfrm>
          <a:off x="19221172" y="2339829"/>
          <a:ext cx="131445" cy="99625"/>
        </a:xfrm>
        <a:prstGeom prst="donut">
          <a:avLst/>
        </a:prstGeom>
        <a:solidFill>
          <a:srgbClr val="C00000"/>
        </a:solidFill>
        <a:ln>
          <a:solidFill>
            <a:srgbClr val="B91C28"/>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clientData/>
  </xdr:twoCellAnchor>
  <xdr:twoCellAnchor>
    <xdr:from>
      <xdr:col>30</xdr:col>
      <xdr:colOff>561697</xdr:colOff>
      <xdr:row>12</xdr:row>
      <xdr:rowOff>72879</xdr:rowOff>
    </xdr:from>
    <xdr:to>
      <xdr:col>31</xdr:col>
      <xdr:colOff>83542</xdr:colOff>
      <xdr:row>12</xdr:row>
      <xdr:rowOff>172504</xdr:rowOff>
    </xdr:to>
    <xdr:sp macro="" textlink="">
      <xdr:nvSpPr>
        <xdr:cNvPr id="42" name="Circle: Hollow 41">
          <a:extLst>
            <a:ext uri="{FF2B5EF4-FFF2-40B4-BE49-F238E27FC236}">
              <a16:creationId xmlns:a16="http://schemas.microsoft.com/office/drawing/2014/main" id="{38B24957-FDA2-4F4D-B12D-B8101B807589}"/>
            </a:ext>
          </a:extLst>
        </xdr:cNvPr>
        <xdr:cNvSpPr/>
      </xdr:nvSpPr>
      <xdr:spPr>
        <a:xfrm>
          <a:off x="22288222" y="2358879"/>
          <a:ext cx="131445" cy="99625"/>
        </a:xfrm>
        <a:prstGeom prst="donut">
          <a:avLst/>
        </a:prstGeom>
        <a:solidFill>
          <a:srgbClr val="C00000"/>
        </a:solidFill>
        <a:ln>
          <a:solidFill>
            <a:srgbClr val="B91C28"/>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clientData/>
  </xdr:twoCellAnchor>
  <xdr:twoCellAnchor>
    <xdr:from>
      <xdr:col>34</xdr:col>
      <xdr:colOff>542647</xdr:colOff>
      <xdr:row>12</xdr:row>
      <xdr:rowOff>53829</xdr:rowOff>
    </xdr:from>
    <xdr:to>
      <xdr:col>35</xdr:col>
      <xdr:colOff>64492</xdr:colOff>
      <xdr:row>12</xdr:row>
      <xdr:rowOff>153454</xdr:rowOff>
    </xdr:to>
    <xdr:sp macro="" textlink="">
      <xdr:nvSpPr>
        <xdr:cNvPr id="43" name="Circle: Hollow 42">
          <a:extLst>
            <a:ext uri="{FF2B5EF4-FFF2-40B4-BE49-F238E27FC236}">
              <a16:creationId xmlns:a16="http://schemas.microsoft.com/office/drawing/2014/main" id="{86DD7AAC-05B6-4106-85AE-CEA67A2CD98A}"/>
            </a:ext>
          </a:extLst>
        </xdr:cNvPr>
        <xdr:cNvSpPr/>
      </xdr:nvSpPr>
      <xdr:spPr>
        <a:xfrm>
          <a:off x="24707572" y="2339829"/>
          <a:ext cx="131445" cy="99625"/>
        </a:xfrm>
        <a:prstGeom prst="donut">
          <a:avLst/>
        </a:prstGeom>
        <a:solidFill>
          <a:srgbClr val="C00000"/>
        </a:solidFill>
        <a:ln>
          <a:solidFill>
            <a:srgbClr val="B91C28"/>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clientData/>
  </xdr:twoCellAnchor>
  <xdr:twoCellAnchor>
    <xdr:from>
      <xdr:col>38</xdr:col>
      <xdr:colOff>542647</xdr:colOff>
      <xdr:row>12</xdr:row>
      <xdr:rowOff>63354</xdr:rowOff>
    </xdr:from>
    <xdr:to>
      <xdr:col>39</xdr:col>
      <xdr:colOff>64492</xdr:colOff>
      <xdr:row>12</xdr:row>
      <xdr:rowOff>162979</xdr:rowOff>
    </xdr:to>
    <xdr:sp macro="" textlink="">
      <xdr:nvSpPr>
        <xdr:cNvPr id="44" name="Circle: Hollow 43">
          <a:extLst>
            <a:ext uri="{FF2B5EF4-FFF2-40B4-BE49-F238E27FC236}">
              <a16:creationId xmlns:a16="http://schemas.microsoft.com/office/drawing/2014/main" id="{DD3F93D8-A33D-439F-A376-53222B9BDCAF}"/>
            </a:ext>
          </a:extLst>
        </xdr:cNvPr>
        <xdr:cNvSpPr/>
      </xdr:nvSpPr>
      <xdr:spPr>
        <a:xfrm>
          <a:off x="27145972" y="2349354"/>
          <a:ext cx="131445" cy="99625"/>
        </a:xfrm>
        <a:prstGeom prst="donut">
          <a:avLst/>
        </a:prstGeom>
        <a:solidFill>
          <a:srgbClr val="C00000"/>
        </a:solidFill>
        <a:ln>
          <a:solidFill>
            <a:srgbClr val="B91C28"/>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sz="675">
            <a:latin typeface="+mj-l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8" Type="http://schemas.openxmlformats.org/officeDocument/2006/relationships/hyperlink" Target="https://starkuk.atlassian.net/wiki/spaces/INTEGRATIO/pages/1951006896/Quotes+API+-+HLD" TargetMode="External"/><Relationship Id="rId13" Type="http://schemas.openxmlformats.org/officeDocument/2006/relationships/hyperlink" Target="https://starkuk.atlassian.net/wiki/spaces/INTEGRATIO/pages/2645819465/Stories+and+Test+Cases+-+relex-sapi+-+ITAX-2727" TargetMode="External"/><Relationship Id="rId3" Type="http://schemas.openxmlformats.org/officeDocument/2006/relationships/hyperlink" Target="https://starkuk.atlassian.net/wiki/spaces/INTEGRATIO/pages/1962934533/Digital+Asset+APIs" TargetMode="External"/><Relationship Id="rId7" Type="http://schemas.openxmlformats.org/officeDocument/2006/relationships/hyperlink" Target="https://starkuk.atlassian.net/wiki/spaces/INTEGRATIO/pages/3197468758/Branch+Finder" TargetMode="External"/><Relationship Id="rId12" Type="http://schemas.openxmlformats.org/officeDocument/2006/relationships/hyperlink" Target="https://starkuk.atlassian.net/wiki/spaces/INTEGRATIO/pages/2291073061/product-feed-papi+adobe+classification+integration?xpis=eyJicmlkZ2UiOiJxdWlja0ZpbmQiLCJpZCI6IjE3ODgzMzQ4MzMzOTUiLCJzb3VyY2UiOiJjb25mbHVlbmNlIn0%3D" TargetMode="External"/><Relationship Id="rId2" Type="http://schemas.openxmlformats.org/officeDocument/2006/relationships/hyperlink" Target="https://starkuk.atlassian.net/wiki/spaces/INTEGRATIO/pages/3060662273/Workday+to+Concur+Integration+-+HLD" TargetMode="External"/><Relationship Id="rId1" Type="http://schemas.openxmlformats.org/officeDocument/2006/relationships/hyperlink" Target="https://starkuk.atlassian.net/wiki/spaces/INTEGRATIO/pages/1727135987/Columbus+Documents+APIs" TargetMode="External"/><Relationship Id="rId6" Type="http://schemas.openxmlformats.org/officeDocument/2006/relationships/hyperlink" Target="https://starkuk.atlassian.net/wiki/spaces/INTEGRATIO/pages/2180153453/Account+Validation+-+HLD" TargetMode="External"/><Relationship Id="rId11" Type="http://schemas.openxmlformats.org/officeDocument/2006/relationships/hyperlink" Target="https://starkuk.atlassian.net/wiki/spaces/INTEGRATIO/pages/2847997998/transport-papi" TargetMode="External"/><Relationship Id="rId5" Type="http://schemas.openxmlformats.org/officeDocument/2006/relationships/hyperlink" Target="https://starkuk.atlassian.net/wiki/spaces/INTEGRATIO/pages/1727135987/Columbus+Documents+APIs" TargetMode="External"/><Relationship Id="rId15" Type="http://schemas.openxmlformats.org/officeDocument/2006/relationships/hyperlink" Target="https://starkuk.atlassian.net/wiki/spaces/INTEGRATIO/pages/5042044929/DRAFT+-+Trade+Account+Service" TargetMode="External"/><Relationship Id="rId10" Type="http://schemas.openxmlformats.org/officeDocument/2006/relationships/hyperlink" Target="https://starkuk.atlassian.net/wiki/spaces/INTEGRATIO/pages/3086909454/rac-sapi" TargetMode="External"/><Relationship Id="rId4" Type="http://schemas.openxmlformats.org/officeDocument/2006/relationships/hyperlink" Target="https://starkuk.atlassian.net/wiki/spaces/INTEGRATIO/pages/2715451621/Customer+Specific+Catalogues+-+HLD" TargetMode="External"/><Relationship Id="rId9" Type="http://schemas.openxmlformats.org/officeDocument/2006/relationships/hyperlink" Target="https://starkuk.atlassian.net/wiki/spaces/INTEGRATIO/pages/1850999050/order-eapi" TargetMode="External"/><Relationship Id="rId14" Type="http://schemas.openxmlformats.org/officeDocument/2006/relationships/hyperlink" Target="https://starkuk.atlassian.net/wiki/spaces/INTEGRATIO/pages/4339793928/Redflag+APIs+Integration?xpis=eyJicmlkZ2UiOiJxdWlja0ZpbmQiLCJpZCI6IjE3ODg3Njk0NDkyNjgiLCJzb3VyY2UiOiJjb25mbHVlbmNlIn0%3D"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514C0-75EE-4831-8E49-FE8DD790CBEE}">
  <dimension ref="B1:CT35"/>
  <sheetViews>
    <sheetView tabSelected="1" topLeftCell="B1" zoomScale="130" zoomScaleNormal="130" workbookViewId="0">
      <pane xSplit="14" topLeftCell="P1" activePane="topRight" state="frozen"/>
      <selection pane="topRight" activeCell="AG18" sqref="AG18"/>
      <selection activeCell="B1" sqref="B1"/>
    </sheetView>
  </sheetViews>
  <sheetFormatPr defaultRowHeight="14.45"/>
  <cols>
    <col min="1" max="1" width="2.85546875" customWidth="1"/>
    <col min="2" max="2" width="3.85546875" bestFit="1" customWidth="1"/>
    <col min="3" max="3" width="29.28515625" customWidth="1"/>
    <col min="4" max="4" width="2.5703125" customWidth="1"/>
    <col min="5" max="5" width="4.5703125" customWidth="1"/>
    <col min="6" max="6" width="4.28515625" customWidth="1"/>
    <col min="7" max="7" width="3.85546875" customWidth="1"/>
    <col min="8" max="8" width="4.28515625" customWidth="1"/>
    <col min="9" max="9" width="6.28515625" customWidth="1"/>
    <col min="10" max="10" width="3.42578125" customWidth="1"/>
    <col min="11" max="11" width="3.5703125" customWidth="1"/>
    <col min="12" max="12" width="4.140625" customWidth="1"/>
    <col min="13" max="13" width="6.28515625" customWidth="1"/>
    <col min="14" max="14" width="4.5703125" customWidth="1"/>
    <col min="15" max="15" width="8.5703125" customWidth="1"/>
    <col min="16" max="16" width="10.42578125" customWidth="1"/>
    <col min="17" max="17" width="9.140625" customWidth="1"/>
    <col min="18" max="18" width="25.42578125" customWidth="1"/>
    <col min="19" max="21" width="2.85546875" customWidth="1"/>
    <col min="22" max="22" width="3.140625" customWidth="1"/>
    <col min="23" max="23" width="3.28515625" customWidth="1"/>
    <col min="24" max="24" width="3.140625" customWidth="1"/>
    <col min="25" max="25" width="2.85546875" customWidth="1"/>
    <col min="26" max="28" width="3.140625" customWidth="1"/>
    <col min="29" max="29" width="2.85546875" customWidth="1"/>
    <col min="30" max="30" width="3.42578125" customWidth="1"/>
    <col min="31" max="32" width="2.85546875" customWidth="1"/>
    <col min="33" max="34" width="3.140625" customWidth="1"/>
    <col min="35" max="35" width="2.85546875" customWidth="1"/>
    <col min="36" max="38" width="3.140625" customWidth="1"/>
    <col min="39" max="39" width="3.42578125" customWidth="1"/>
    <col min="40" max="40" width="3.140625" customWidth="1"/>
    <col min="41" max="41" width="2.85546875" customWidth="1"/>
    <col min="42" max="43" width="3.140625" customWidth="1"/>
    <col min="44" max="45" width="2.85546875" customWidth="1"/>
    <col min="46" max="46" width="3.140625" customWidth="1"/>
    <col min="47" max="47" width="2.5703125" customWidth="1"/>
    <col min="48" max="48" width="2.85546875" customWidth="1"/>
    <col min="49" max="49" width="3.140625" customWidth="1"/>
    <col min="50" max="50" width="2.5703125" customWidth="1"/>
    <col min="51" max="52" width="2.85546875" customWidth="1"/>
    <col min="53" max="54" width="2.5703125" customWidth="1"/>
    <col min="55" max="56" width="3.140625" customWidth="1"/>
    <col min="57" max="57" width="2.5703125" customWidth="1"/>
    <col min="58" max="59" width="3.140625" customWidth="1"/>
    <col min="60" max="61" width="3.42578125" customWidth="1"/>
    <col min="62" max="62" width="2.85546875" customWidth="1"/>
    <col min="63" max="64" width="3.140625" customWidth="1"/>
    <col min="65" max="66" width="3.42578125" customWidth="1"/>
    <col min="67" max="67" width="2.85546875" customWidth="1"/>
    <col min="68" max="69" width="3.140625" customWidth="1"/>
    <col min="70" max="71" width="3.42578125" customWidth="1"/>
    <col min="72" max="72" width="2.85546875" customWidth="1"/>
    <col min="73" max="74" width="3.140625" customWidth="1"/>
    <col min="75" max="76" width="3.42578125" customWidth="1"/>
    <col min="77" max="77" width="2.85546875" customWidth="1"/>
    <col min="78" max="78" width="3.140625" customWidth="1"/>
    <col min="79" max="93" width="3.42578125" customWidth="1"/>
    <col min="94" max="97" width="3.140625" style="190" bestFit="1" customWidth="1"/>
    <col min="98" max="98" width="3.140625" style="190" customWidth="1"/>
  </cols>
  <sheetData>
    <row r="1" spans="2:98">
      <c r="AB1" s="158"/>
    </row>
    <row r="2" spans="2:98">
      <c r="B2" s="218" t="s">
        <v>0</v>
      </c>
      <c r="C2" s="218"/>
      <c r="D2" s="218"/>
      <c r="E2" s="218"/>
      <c r="F2" s="218"/>
      <c r="G2" s="218"/>
      <c r="H2" s="218"/>
      <c r="I2" s="218"/>
      <c r="J2" s="218"/>
      <c r="K2" s="218"/>
      <c r="L2" s="218"/>
      <c r="M2" s="218"/>
      <c r="N2" s="218"/>
      <c r="O2" s="218"/>
      <c r="P2" s="218"/>
      <c r="Q2" s="218"/>
      <c r="R2" s="218"/>
      <c r="S2" s="217" t="s">
        <v>1</v>
      </c>
      <c r="T2" s="217"/>
      <c r="U2" s="217"/>
      <c r="V2" s="217"/>
      <c r="W2" s="217"/>
      <c r="X2" s="219" t="s">
        <v>2</v>
      </c>
      <c r="Y2" s="220"/>
      <c r="Z2" s="220"/>
      <c r="AA2" s="220"/>
      <c r="AB2" s="221"/>
      <c r="AC2" s="219" t="s">
        <v>3</v>
      </c>
      <c r="AD2" s="220"/>
      <c r="AE2" s="220"/>
      <c r="AF2" s="220"/>
      <c r="AG2" s="221"/>
      <c r="AH2" s="219" t="s">
        <v>4</v>
      </c>
      <c r="AI2" s="220"/>
      <c r="AJ2" s="220"/>
      <c r="AK2" s="220"/>
      <c r="AL2" s="221"/>
      <c r="AM2" s="219" t="s">
        <v>5</v>
      </c>
      <c r="AN2" s="220"/>
      <c r="AO2" s="220"/>
      <c r="AP2" s="220"/>
      <c r="AQ2" s="221"/>
      <c r="AR2" s="219" t="s">
        <v>6</v>
      </c>
      <c r="AS2" s="220"/>
      <c r="AT2" s="220"/>
      <c r="AU2" s="220"/>
      <c r="AV2" s="221"/>
      <c r="AW2" s="219" t="s">
        <v>7</v>
      </c>
      <c r="AX2" s="220"/>
      <c r="AY2" s="220"/>
      <c r="AZ2" s="220"/>
      <c r="BA2" s="221"/>
      <c r="BB2" s="217" t="s">
        <v>8</v>
      </c>
      <c r="BC2" s="217"/>
      <c r="BD2" s="217"/>
      <c r="BE2" s="217"/>
      <c r="BF2" s="217"/>
      <c r="BG2" s="217" t="s">
        <v>9</v>
      </c>
      <c r="BH2" s="217"/>
      <c r="BI2" s="217"/>
      <c r="BJ2" s="217"/>
      <c r="BK2" s="217"/>
      <c r="BL2" s="217" t="s">
        <v>10</v>
      </c>
      <c r="BM2" s="217"/>
      <c r="BN2" s="217"/>
      <c r="BO2" s="217"/>
      <c r="BP2" s="217"/>
      <c r="BQ2" s="217" t="s">
        <v>11</v>
      </c>
      <c r="BR2" s="217"/>
      <c r="BS2" s="217"/>
      <c r="BT2" s="217"/>
      <c r="BU2" s="217"/>
      <c r="BV2" s="217" t="s">
        <v>12</v>
      </c>
      <c r="BW2" s="217"/>
      <c r="BX2" s="217"/>
      <c r="BY2" s="217"/>
      <c r="BZ2" s="217"/>
      <c r="CA2" s="219" t="s">
        <v>13</v>
      </c>
      <c r="CB2" s="220"/>
      <c r="CC2" s="220"/>
      <c r="CD2" s="220"/>
      <c r="CE2" s="221"/>
      <c r="CF2" s="219" t="s">
        <v>14</v>
      </c>
      <c r="CG2" s="220"/>
      <c r="CH2" s="220"/>
      <c r="CI2" s="220"/>
      <c r="CJ2" s="221"/>
      <c r="CK2" s="219" t="s">
        <v>15</v>
      </c>
      <c r="CL2" s="220"/>
      <c r="CM2" s="220"/>
      <c r="CN2" s="220"/>
      <c r="CO2" s="221"/>
      <c r="CP2" s="219" t="s">
        <v>16</v>
      </c>
      <c r="CQ2" s="220"/>
      <c r="CR2" s="220"/>
      <c r="CS2" s="220"/>
      <c r="CT2" s="221"/>
    </row>
    <row r="3" spans="2:98" s="84" customFormat="1">
      <c r="B3" s="217" t="s">
        <v>17</v>
      </c>
      <c r="C3" s="217"/>
      <c r="D3" s="217"/>
      <c r="E3" s="217"/>
      <c r="F3" s="217"/>
      <c r="G3" s="217"/>
      <c r="H3" s="217"/>
      <c r="I3" s="217"/>
      <c r="J3" s="217"/>
      <c r="K3" s="217"/>
      <c r="L3" s="217"/>
      <c r="M3" s="217"/>
      <c r="N3" s="217"/>
      <c r="O3" s="217"/>
      <c r="P3" s="217"/>
      <c r="Q3" s="217"/>
      <c r="R3" s="217"/>
      <c r="S3" s="87" t="s">
        <v>18</v>
      </c>
      <c r="T3" s="87" t="s">
        <v>19</v>
      </c>
      <c r="U3" s="87" t="s">
        <v>20</v>
      </c>
      <c r="V3" s="87" t="s">
        <v>19</v>
      </c>
      <c r="W3" s="87" t="s">
        <v>21</v>
      </c>
      <c r="X3" s="87" t="s">
        <v>18</v>
      </c>
      <c r="Y3" s="87" t="s">
        <v>19</v>
      </c>
      <c r="Z3" s="87" t="s">
        <v>20</v>
      </c>
      <c r="AA3" s="87" t="s">
        <v>19</v>
      </c>
      <c r="AB3" s="87" t="s">
        <v>21</v>
      </c>
      <c r="AC3" s="87" t="s">
        <v>18</v>
      </c>
      <c r="AD3" s="87" t="s">
        <v>19</v>
      </c>
      <c r="AE3" s="87" t="s">
        <v>20</v>
      </c>
      <c r="AF3" s="87" t="s">
        <v>19</v>
      </c>
      <c r="AG3" s="156" t="s">
        <v>21</v>
      </c>
      <c r="AH3" s="87" t="s">
        <v>18</v>
      </c>
      <c r="AI3" s="87" t="s">
        <v>19</v>
      </c>
      <c r="AJ3" s="87" t="s">
        <v>20</v>
      </c>
      <c r="AK3" s="87" t="s">
        <v>19</v>
      </c>
      <c r="AL3" s="87" t="s">
        <v>21</v>
      </c>
      <c r="AM3" s="87" t="s">
        <v>18</v>
      </c>
      <c r="AN3" s="87" t="s">
        <v>19</v>
      </c>
      <c r="AO3" s="87" t="s">
        <v>20</v>
      </c>
      <c r="AP3" s="87" t="s">
        <v>19</v>
      </c>
      <c r="AQ3" s="87" t="s">
        <v>21</v>
      </c>
      <c r="AR3" s="87" t="s">
        <v>18</v>
      </c>
      <c r="AS3" s="156" t="s">
        <v>19</v>
      </c>
      <c r="AT3" s="87" t="s">
        <v>20</v>
      </c>
      <c r="AU3" s="87" t="s">
        <v>19</v>
      </c>
      <c r="AV3" s="87" t="s">
        <v>21</v>
      </c>
      <c r="AW3" s="87" t="s">
        <v>18</v>
      </c>
      <c r="AX3" s="87" t="s">
        <v>19</v>
      </c>
      <c r="AY3" s="87" t="s">
        <v>20</v>
      </c>
      <c r="AZ3" s="87" t="s">
        <v>19</v>
      </c>
      <c r="BA3" s="87" t="s">
        <v>21</v>
      </c>
      <c r="BB3" s="87" t="s">
        <v>18</v>
      </c>
      <c r="BC3" s="87" t="s">
        <v>19</v>
      </c>
      <c r="BD3" s="87" t="s">
        <v>20</v>
      </c>
      <c r="BE3" s="87" t="s">
        <v>19</v>
      </c>
      <c r="BF3" s="87" t="s">
        <v>21</v>
      </c>
      <c r="BG3" s="87" t="s">
        <v>18</v>
      </c>
      <c r="BH3" s="87" t="s">
        <v>19</v>
      </c>
      <c r="BI3" s="87" t="s">
        <v>20</v>
      </c>
      <c r="BJ3" s="87" t="s">
        <v>19</v>
      </c>
      <c r="BK3" s="87" t="s">
        <v>21</v>
      </c>
      <c r="BL3" s="87" t="s">
        <v>18</v>
      </c>
      <c r="BM3" s="87" t="s">
        <v>19</v>
      </c>
      <c r="BN3" s="87" t="s">
        <v>20</v>
      </c>
      <c r="BO3" s="87" t="s">
        <v>19</v>
      </c>
      <c r="BP3" s="87" t="s">
        <v>21</v>
      </c>
      <c r="BQ3" s="87" t="s">
        <v>18</v>
      </c>
      <c r="BR3" s="87" t="s">
        <v>19</v>
      </c>
      <c r="BS3" s="87" t="s">
        <v>20</v>
      </c>
      <c r="BT3" s="87" t="s">
        <v>19</v>
      </c>
      <c r="BU3" s="87" t="s">
        <v>21</v>
      </c>
      <c r="BV3" s="87" t="s">
        <v>18</v>
      </c>
      <c r="BW3" s="87" t="s">
        <v>19</v>
      </c>
      <c r="BX3" s="87" t="s">
        <v>20</v>
      </c>
      <c r="BY3" s="87" t="s">
        <v>19</v>
      </c>
      <c r="BZ3" s="87" t="s">
        <v>21</v>
      </c>
      <c r="CA3" s="87" t="s">
        <v>18</v>
      </c>
      <c r="CB3" s="87" t="s">
        <v>19</v>
      </c>
      <c r="CC3" s="87" t="s">
        <v>20</v>
      </c>
      <c r="CD3" s="87" t="s">
        <v>19</v>
      </c>
      <c r="CE3" s="87" t="s">
        <v>21</v>
      </c>
      <c r="CF3" s="87" t="s">
        <v>18</v>
      </c>
      <c r="CG3" s="87" t="s">
        <v>19</v>
      </c>
      <c r="CH3" s="87" t="s">
        <v>20</v>
      </c>
      <c r="CI3" s="87" t="s">
        <v>19</v>
      </c>
      <c r="CJ3" s="87" t="s">
        <v>21</v>
      </c>
      <c r="CK3" s="87" t="s">
        <v>18</v>
      </c>
      <c r="CL3" s="87" t="s">
        <v>19</v>
      </c>
      <c r="CM3" s="87" t="s">
        <v>20</v>
      </c>
      <c r="CN3" s="87" t="s">
        <v>19</v>
      </c>
      <c r="CO3" s="87" t="s">
        <v>21</v>
      </c>
      <c r="CP3" s="191" t="s">
        <v>18</v>
      </c>
      <c r="CQ3" s="191" t="s">
        <v>19</v>
      </c>
      <c r="CR3" s="191" t="s">
        <v>20</v>
      </c>
      <c r="CS3" s="191" t="s">
        <v>19</v>
      </c>
      <c r="CT3" s="191" t="s">
        <v>21</v>
      </c>
    </row>
    <row r="4" spans="2:98" s="84" customFormat="1" ht="30.6">
      <c r="B4" s="85" t="s">
        <v>22</v>
      </c>
      <c r="C4" s="85" t="s">
        <v>23</v>
      </c>
      <c r="D4" s="134" t="s">
        <v>24</v>
      </c>
      <c r="E4" s="86" t="s">
        <v>25</v>
      </c>
      <c r="F4" s="86" t="s">
        <v>26</v>
      </c>
      <c r="G4" s="86" t="s">
        <v>27</v>
      </c>
      <c r="H4" s="86" t="s">
        <v>28</v>
      </c>
      <c r="I4" s="107" t="s">
        <v>29</v>
      </c>
      <c r="J4" s="86" t="s">
        <v>30</v>
      </c>
      <c r="K4" s="86" t="s">
        <v>31</v>
      </c>
      <c r="L4" s="86" t="s">
        <v>32</v>
      </c>
      <c r="M4" s="107" t="s">
        <v>33</v>
      </c>
      <c r="N4" s="86" t="s">
        <v>34</v>
      </c>
      <c r="O4" s="86" t="s">
        <v>35</v>
      </c>
      <c r="P4" s="86" t="s">
        <v>36</v>
      </c>
      <c r="Q4" s="86" t="s">
        <v>37</v>
      </c>
      <c r="R4" s="86" t="s">
        <v>38</v>
      </c>
      <c r="S4" s="144">
        <v>46279</v>
      </c>
      <c r="T4" s="144">
        <v>46280</v>
      </c>
      <c r="U4" s="144">
        <v>46281</v>
      </c>
      <c r="V4" s="144">
        <v>46282</v>
      </c>
      <c r="W4" s="144">
        <v>46283</v>
      </c>
      <c r="X4" s="144">
        <v>46286</v>
      </c>
      <c r="Y4" s="144">
        <v>46287</v>
      </c>
      <c r="Z4" s="144">
        <v>46288</v>
      </c>
      <c r="AA4" s="144">
        <v>46289</v>
      </c>
      <c r="AB4" s="144">
        <v>46290</v>
      </c>
      <c r="AC4" s="144">
        <v>46293</v>
      </c>
      <c r="AD4" s="144">
        <v>46294</v>
      </c>
      <c r="AE4" s="144">
        <v>46295</v>
      </c>
      <c r="AF4" s="144">
        <v>46296</v>
      </c>
      <c r="AG4" s="157">
        <v>46297</v>
      </c>
      <c r="AH4" s="144">
        <v>46300</v>
      </c>
      <c r="AI4" s="144">
        <v>46301</v>
      </c>
      <c r="AJ4" s="144">
        <v>46302</v>
      </c>
      <c r="AK4" s="144">
        <v>46303</v>
      </c>
      <c r="AL4" s="144">
        <v>46304</v>
      </c>
      <c r="AM4" s="144">
        <v>46307</v>
      </c>
      <c r="AN4" s="144">
        <v>46308</v>
      </c>
      <c r="AO4" s="144">
        <v>46309</v>
      </c>
      <c r="AP4" s="144">
        <v>46310</v>
      </c>
      <c r="AQ4" s="144">
        <v>46311</v>
      </c>
      <c r="AR4" s="144">
        <v>46314</v>
      </c>
      <c r="AS4" s="157">
        <v>46315</v>
      </c>
      <c r="AT4" s="144">
        <v>46316</v>
      </c>
      <c r="AU4" s="144">
        <v>46317</v>
      </c>
      <c r="AV4" s="144">
        <v>46318</v>
      </c>
      <c r="AW4" s="144">
        <v>46321</v>
      </c>
      <c r="AX4" s="144">
        <v>46322</v>
      </c>
      <c r="AY4" s="144">
        <v>46323</v>
      </c>
      <c r="AZ4" s="144">
        <v>46324</v>
      </c>
      <c r="BA4" s="144">
        <v>46325</v>
      </c>
      <c r="BB4" s="144">
        <v>46328</v>
      </c>
      <c r="BC4" s="144">
        <v>46329</v>
      </c>
      <c r="BD4" s="144">
        <v>46330</v>
      </c>
      <c r="BE4" s="144">
        <v>46331</v>
      </c>
      <c r="BF4" s="144">
        <v>46332</v>
      </c>
      <c r="BG4" s="144">
        <v>46335</v>
      </c>
      <c r="BH4" s="144">
        <v>46336</v>
      </c>
      <c r="BI4" s="144">
        <v>46337</v>
      </c>
      <c r="BJ4" s="144">
        <v>46338</v>
      </c>
      <c r="BK4" s="144">
        <v>46339</v>
      </c>
      <c r="BL4" s="144">
        <v>46342</v>
      </c>
      <c r="BM4" s="144">
        <v>46343</v>
      </c>
      <c r="BN4" s="144">
        <v>46344</v>
      </c>
      <c r="BO4" s="144">
        <v>46345</v>
      </c>
      <c r="BP4" s="144">
        <v>46346</v>
      </c>
      <c r="BQ4" s="144">
        <v>46349</v>
      </c>
      <c r="BR4" s="144">
        <v>46350</v>
      </c>
      <c r="BS4" s="144">
        <v>46351</v>
      </c>
      <c r="BT4" s="144">
        <v>46352</v>
      </c>
      <c r="BU4" s="144">
        <v>46353</v>
      </c>
      <c r="BV4" s="144">
        <v>46356</v>
      </c>
      <c r="BW4" s="144">
        <v>46357</v>
      </c>
      <c r="BX4" s="144">
        <v>46358</v>
      </c>
      <c r="BY4" s="144">
        <v>46359</v>
      </c>
      <c r="BZ4" s="144">
        <v>46360</v>
      </c>
      <c r="CA4" s="207">
        <v>46363</v>
      </c>
      <c r="CB4" s="207">
        <v>46364</v>
      </c>
      <c r="CC4" s="207">
        <v>46365</v>
      </c>
      <c r="CD4" s="207">
        <v>46366</v>
      </c>
      <c r="CE4" s="207">
        <v>46367</v>
      </c>
      <c r="CF4" s="207">
        <v>46370</v>
      </c>
      <c r="CG4" s="207">
        <v>46371</v>
      </c>
      <c r="CH4" s="207">
        <v>46372</v>
      </c>
      <c r="CI4" s="207">
        <v>46373</v>
      </c>
      <c r="CJ4" s="207">
        <v>46374</v>
      </c>
      <c r="CK4" s="207">
        <v>46377</v>
      </c>
      <c r="CL4" s="207">
        <v>46378</v>
      </c>
      <c r="CM4" s="207">
        <v>46379</v>
      </c>
      <c r="CN4" s="207">
        <v>46380</v>
      </c>
      <c r="CO4" s="207">
        <v>46381</v>
      </c>
      <c r="CP4" s="194">
        <v>46384</v>
      </c>
      <c r="CQ4" s="194">
        <v>46385</v>
      </c>
      <c r="CR4" s="194">
        <v>46386</v>
      </c>
      <c r="CS4" s="194">
        <v>46387</v>
      </c>
      <c r="CT4" s="194">
        <v>46023</v>
      </c>
    </row>
    <row r="5" spans="2:98" ht="14.45" customHeight="1">
      <c r="B5" s="2">
        <v>1</v>
      </c>
      <c r="C5" s="145" t="s">
        <v>39</v>
      </c>
      <c r="D5" s="135">
        <v>1</v>
      </c>
      <c r="E5" s="140">
        <v>0</v>
      </c>
      <c r="F5" s="140">
        <v>0</v>
      </c>
      <c r="G5" s="140">
        <v>0</v>
      </c>
      <c r="H5" s="140">
        <v>0</v>
      </c>
      <c r="I5" s="108">
        <f t="shared" ref="I5:I27" si="0">CEILING((SUM(E5:H5)*0.3), 1)</f>
        <v>0</v>
      </c>
      <c r="J5" s="141">
        <v>0</v>
      </c>
      <c r="K5" s="172">
        <v>0</v>
      </c>
      <c r="L5" s="148">
        <v>1</v>
      </c>
      <c r="M5" s="108">
        <f t="shared" ref="M5:M18" si="1">CEILING((SUM(J5:L5)*0.3), 1)</f>
        <v>1</v>
      </c>
      <c r="N5" s="213">
        <v>1</v>
      </c>
      <c r="O5" s="78" t="s">
        <v>40</v>
      </c>
      <c r="P5" s="78" t="s">
        <v>40</v>
      </c>
      <c r="Q5" s="78" t="s">
        <v>40</v>
      </c>
      <c r="R5" s="201" t="s">
        <v>41</v>
      </c>
      <c r="S5" s="2"/>
      <c r="T5" s="2"/>
      <c r="U5" s="2"/>
      <c r="V5" s="2"/>
      <c r="W5" s="2"/>
      <c r="X5" s="2"/>
      <c r="Y5" s="2"/>
      <c r="Z5" s="2"/>
      <c r="AA5" s="12" t="s">
        <v>42</v>
      </c>
      <c r="AB5" s="12" t="s">
        <v>43</v>
      </c>
      <c r="AC5" s="139" t="s">
        <v>44</v>
      </c>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08"/>
      <c r="CP5" s="208"/>
      <c r="CQ5" s="196"/>
      <c r="CR5" s="196"/>
      <c r="CS5" s="196"/>
      <c r="CT5" s="208"/>
    </row>
    <row r="6" spans="2:98">
      <c r="B6" s="2">
        <v>2</v>
      </c>
      <c r="C6" s="145" t="s">
        <v>45</v>
      </c>
      <c r="D6" s="135">
        <v>1</v>
      </c>
      <c r="E6" s="140">
        <v>0</v>
      </c>
      <c r="F6" s="140">
        <v>0</v>
      </c>
      <c r="G6" s="140">
        <v>0</v>
      </c>
      <c r="H6" s="140">
        <v>0</v>
      </c>
      <c r="I6" s="108">
        <f t="shared" si="0"/>
        <v>0</v>
      </c>
      <c r="J6" s="141">
        <v>0</v>
      </c>
      <c r="K6" s="172">
        <v>0</v>
      </c>
      <c r="L6" s="148">
        <v>1</v>
      </c>
      <c r="M6" s="108">
        <f t="shared" si="1"/>
        <v>1</v>
      </c>
      <c r="N6" s="213">
        <v>1</v>
      </c>
      <c r="O6" s="78" t="s">
        <v>40</v>
      </c>
      <c r="P6" s="78" t="s">
        <v>40</v>
      </c>
      <c r="Q6" s="78" t="s">
        <v>40</v>
      </c>
      <c r="R6" s="133" t="s">
        <v>46</v>
      </c>
      <c r="S6" s="2"/>
      <c r="T6" s="2"/>
      <c r="U6" s="2"/>
      <c r="V6" s="2"/>
      <c r="W6" s="2"/>
      <c r="X6" s="2"/>
      <c r="Y6" s="2"/>
      <c r="Z6" s="2"/>
      <c r="AA6" s="12" t="s">
        <v>42</v>
      </c>
      <c r="AB6" s="12" t="s">
        <v>43</v>
      </c>
      <c r="AC6" s="139" t="s">
        <v>44</v>
      </c>
      <c r="AD6" s="2"/>
      <c r="AE6" s="2"/>
      <c r="AF6" s="2"/>
      <c r="AG6" s="2"/>
      <c r="AH6" s="2"/>
      <c r="AI6" s="2"/>
      <c r="AJ6" s="161"/>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08"/>
      <c r="CP6" s="208"/>
      <c r="CQ6" s="196"/>
      <c r="CR6" s="196"/>
      <c r="CS6" s="196"/>
      <c r="CT6" s="208"/>
    </row>
    <row r="7" spans="2:98">
      <c r="B7" s="2">
        <v>3</v>
      </c>
      <c r="C7" s="145" t="s">
        <v>47</v>
      </c>
      <c r="D7" s="135">
        <v>1</v>
      </c>
      <c r="E7" s="140">
        <v>0</v>
      </c>
      <c r="F7" s="140">
        <v>0</v>
      </c>
      <c r="G7" s="140">
        <v>0</v>
      </c>
      <c r="H7" s="140">
        <v>0</v>
      </c>
      <c r="I7" s="108">
        <f t="shared" si="0"/>
        <v>0</v>
      </c>
      <c r="J7" s="184">
        <v>0</v>
      </c>
      <c r="K7" s="173">
        <v>1</v>
      </c>
      <c r="L7" s="148" t="s">
        <v>48</v>
      </c>
      <c r="M7" s="108">
        <f t="shared" si="1"/>
        <v>1</v>
      </c>
      <c r="N7" s="213">
        <v>1</v>
      </c>
      <c r="O7" s="151" t="s">
        <v>49</v>
      </c>
      <c r="P7" s="78" t="s">
        <v>50</v>
      </c>
      <c r="Q7" s="180" t="s">
        <v>51</v>
      </c>
      <c r="R7" s="133" t="s">
        <v>52</v>
      </c>
      <c r="S7" s="2"/>
      <c r="T7" s="2"/>
      <c r="U7" s="2"/>
      <c r="V7" s="2"/>
      <c r="W7" s="2"/>
      <c r="X7" s="2"/>
      <c r="Y7" s="2"/>
      <c r="Z7" s="2"/>
      <c r="AA7" s="82" t="s">
        <v>53</v>
      </c>
      <c r="AB7" s="166" t="s">
        <v>53</v>
      </c>
      <c r="AC7" s="209" t="s">
        <v>48</v>
      </c>
      <c r="AD7" s="12" t="s">
        <v>43</v>
      </c>
      <c r="AE7" s="139" t="s">
        <v>44</v>
      </c>
      <c r="AF7" s="2"/>
      <c r="AG7" s="2"/>
      <c r="AH7" s="2"/>
      <c r="AI7" s="2"/>
      <c r="AJ7" s="161"/>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08"/>
      <c r="CP7" s="208"/>
      <c r="CQ7" s="196"/>
      <c r="CR7" s="196"/>
      <c r="CS7" s="196"/>
      <c r="CT7" s="208"/>
    </row>
    <row r="8" spans="2:98">
      <c r="B8" s="2">
        <v>4</v>
      </c>
      <c r="C8" s="188" t="s">
        <v>54</v>
      </c>
      <c r="D8" s="135">
        <v>1</v>
      </c>
      <c r="E8" s="140">
        <v>1</v>
      </c>
      <c r="F8" s="140">
        <v>0</v>
      </c>
      <c r="G8" s="140">
        <v>0</v>
      </c>
      <c r="H8" s="140">
        <v>0</v>
      </c>
      <c r="I8" s="108">
        <f t="shared" si="0"/>
        <v>1</v>
      </c>
      <c r="J8" s="141">
        <v>5</v>
      </c>
      <c r="K8" s="173">
        <v>3</v>
      </c>
      <c r="L8" s="148">
        <v>1</v>
      </c>
      <c r="M8" s="108">
        <f t="shared" si="1"/>
        <v>3</v>
      </c>
      <c r="N8" s="213">
        <v>1</v>
      </c>
      <c r="O8" s="152" t="s">
        <v>55</v>
      </c>
      <c r="P8" s="178" t="s">
        <v>50</v>
      </c>
      <c r="Q8" s="78" t="s">
        <v>51</v>
      </c>
      <c r="R8" s="212" t="s">
        <v>56</v>
      </c>
      <c r="S8" s="2"/>
      <c r="T8" s="82" t="s">
        <v>57</v>
      </c>
      <c r="U8" s="82" t="s">
        <v>44</v>
      </c>
      <c r="V8" s="166" t="s">
        <v>58</v>
      </c>
      <c r="W8" s="166" t="s">
        <v>58</v>
      </c>
      <c r="X8" s="181" t="s">
        <v>59</v>
      </c>
      <c r="Y8" s="82" t="s">
        <v>59</v>
      </c>
      <c r="Z8" s="82" t="s">
        <v>59</v>
      </c>
      <c r="AA8" s="82" t="s">
        <v>59</v>
      </c>
      <c r="AB8" s="82" t="s">
        <v>59</v>
      </c>
      <c r="AC8" s="216" t="s">
        <v>59</v>
      </c>
      <c r="AD8" s="171" t="s">
        <v>53</v>
      </c>
      <c r="AE8" s="171" t="s">
        <v>53</v>
      </c>
      <c r="AF8" s="171" t="s">
        <v>53</v>
      </c>
      <c r="AG8" s="12" t="s">
        <v>42</v>
      </c>
      <c r="AH8" s="12" t="s">
        <v>43</v>
      </c>
      <c r="AI8" s="139" t="s">
        <v>44</v>
      </c>
      <c r="AJ8" s="139" t="s">
        <v>44</v>
      </c>
      <c r="AK8" s="162" t="s">
        <v>44</v>
      </c>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08"/>
      <c r="CP8" s="208"/>
      <c r="CQ8" s="196"/>
      <c r="CR8" s="196"/>
      <c r="CS8" s="196"/>
      <c r="CT8" s="208"/>
    </row>
    <row r="9" spans="2:98">
      <c r="B9" s="2">
        <v>5</v>
      </c>
      <c r="C9" s="189" t="s">
        <v>60</v>
      </c>
      <c r="D9" s="136">
        <v>1</v>
      </c>
      <c r="E9" s="140">
        <v>1</v>
      </c>
      <c r="F9" s="140">
        <v>0</v>
      </c>
      <c r="G9" s="140">
        <v>0</v>
      </c>
      <c r="H9" s="140">
        <v>0</v>
      </c>
      <c r="I9" s="108">
        <f t="shared" si="0"/>
        <v>1</v>
      </c>
      <c r="J9" s="141">
        <v>5</v>
      </c>
      <c r="K9" s="172">
        <v>0</v>
      </c>
      <c r="L9" s="148">
        <v>5</v>
      </c>
      <c r="M9" s="108">
        <f t="shared" si="1"/>
        <v>3</v>
      </c>
      <c r="N9" s="213">
        <v>1</v>
      </c>
      <c r="O9" s="152" t="s">
        <v>55</v>
      </c>
      <c r="P9" s="179" t="s">
        <v>61</v>
      </c>
      <c r="Q9" s="78" t="s">
        <v>51</v>
      </c>
      <c r="R9" s="187" t="s">
        <v>62</v>
      </c>
      <c r="S9" s="2"/>
      <c r="T9" s="2"/>
      <c r="U9" s="2"/>
      <c r="V9" s="2"/>
      <c r="W9" s="2"/>
      <c r="X9" s="82" t="s">
        <v>57</v>
      </c>
      <c r="Y9" s="82" t="s">
        <v>44</v>
      </c>
      <c r="Z9" s="166" t="s">
        <v>58</v>
      </c>
      <c r="AA9" s="166" t="s">
        <v>58</v>
      </c>
      <c r="AB9" s="214" t="s">
        <v>59</v>
      </c>
      <c r="AC9" s="82" t="s">
        <v>59</v>
      </c>
      <c r="AD9" s="142" t="s">
        <v>59</v>
      </c>
      <c r="AE9" s="142" t="s">
        <v>59</v>
      </c>
      <c r="AF9" s="142" t="s">
        <v>59</v>
      </c>
      <c r="AG9" s="142" t="s">
        <v>59</v>
      </c>
      <c r="AH9" s="12" t="s">
        <v>42</v>
      </c>
      <c r="AI9" s="12" t="s">
        <v>42</v>
      </c>
      <c r="AJ9" s="12" t="s">
        <v>42</v>
      </c>
      <c r="AK9" s="12" t="s">
        <v>42</v>
      </c>
      <c r="AL9" s="12" t="s">
        <v>42</v>
      </c>
      <c r="AM9" s="163" t="s">
        <v>43</v>
      </c>
      <c r="AN9" s="139" t="s">
        <v>44</v>
      </c>
      <c r="AO9" s="139" t="s">
        <v>44</v>
      </c>
      <c r="AP9" s="139" t="s">
        <v>44</v>
      </c>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08"/>
      <c r="CP9" s="208"/>
      <c r="CQ9" s="196"/>
      <c r="CR9" s="196"/>
      <c r="CS9" s="196"/>
      <c r="CT9" s="208"/>
    </row>
    <row r="10" spans="2:98">
      <c r="B10" s="2">
        <v>6</v>
      </c>
      <c r="C10" s="145" t="s">
        <v>63</v>
      </c>
      <c r="D10" s="135">
        <v>3</v>
      </c>
      <c r="E10" s="140">
        <v>2</v>
      </c>
      <c r="F10" s="140">
        <v>0</v>
      </c>
      <c r="G10" s="140">
        <v>1</v>
      </c>
      <c r="H10" s="140">
        <v>5</v>
      </c>
      <c r="I10" s="108">
        <f t="shared" si="0"/>
        <v>3</v>
      </c>
      <c r="J10" s="141">
        <v>2</v>
      </c>
      <c r="K10" s="173">
        <v>6</v>
      </c>
      <c r="L10" s="148">
        <v>1</v>
      </c>
      <c r="M10" s="108">
        <f t="shared" si="1"/>
        <v>3</v>
      </c>
      <c r="N10" s="213">
        <v>1</v>
      </c>
      <c r="O10" s="170" t="s">
        <v>55</v>
      </c>
      <c r="P10" s="78" t="s">
        <v>61</v>
      </c>
      <c r="Q10" s="78" t="s">
        <v>51</v>
      </c>
      <c r="R10" s="133" t="s">
        <v>64</v>
      </c>
      <c r="S10" s="2"/>
      <c r="T10" s="2"/>
      <c r="U10" s="2"/>
      <c r="V10" s="2"/>
      <c r="W10" s="2"/>
      <c r="X10" s="2"/>
      <c r="Y10" s="2"/>
      <c r="AC10" s="155" t="s">
        <v>57</v>
      </c>
      <c r="AD10" s="143" t="s">
        <v>57</v>
      </c>
      <c r="AE10" s="143" t="s">
        <v>65</v>
      </c>
      <c r="AF10" s="143" t="s">
        <v>58</v>
      </c>
      <c r="AG10" s="143" t="s">
        <v>58</v>
      </c>
      <c r="AH10" s="143" t="s">
        <v>58</v>
      </c>
      <c r="AI10" s="143" t="s">
        <v>58</v>
      </c>
      <c r="AJ10" s="143" t="s">
        <v>58</v>
      </c>
      <c r="AK10" s="139" t="s">
        <v>44</v>
      </c>
      <c r="AL10" s="139" t="s">
        <v>44</v>
      </c>
      <c r="AM10" s="162" t="s">
        <v>44</v>
      </c>
      <c r="AN10" s="142" t="s">
        <v>59</v>
      </c>
      <c r="AO10" s="142" t="s">
        <v>59</v>
      </c>
      <c r="AP10" s="171" t="s">
        <v>53</v>
      </c>
      <c r="AQ10" s="171" t="s">
        <v>53</v>
      </c>
      <c r="AR10" s="171" t="s">
        <v>53</v>
      </c>
      <c r="AS10" s="171" t="s">
        <v>53</v>
      </c>
      <c r="AT10" s="171" t="s">
        <v>53</v>
      </c>
      <c r="AU10" s="171" t="s">
        <v>53</v>
      </c>
      <c r="AV10" s="12" t="s">
        <v>42</v>
      </c>
      <c r="AW10" s="12" t="s">
        <v>43</v>
      </c>
      <c r="AX10" s="139" t="s">
        <v>44</v>
      </c>
      <c r="AY10" s="139" t="s">
        <v>44</v>
      </c>
      <c r="AZ10" s="139" t="s">
        <v>44</v>
      </c>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08"/>
      <c r="CP10" s="208"/>
      <c r="CQ10" s="196"/>
      <c r="CR10" s="196"/>
      <c r="CS10" s="196"/>
      <c r="CT10" s="208"/>
    </row>
    <row r="11" spans="2:98">
      <c r="B11" s="2">
        <v>16</v>
      </c>
      <c r="C11" s="145" t="s">
        <v>66</v>
      </c>
      <c r="D11" s="135">
        <v>5</v>
      </c>
      <c r="E11" s="140">
        <v>1</v>
      </c>
      <c r="F11" s="140">
        <v>1</v>
      </c>
      <c r="G11" s="140">
        <v>1</v>
      </c>
      <c r="H11" s="140">
        <v>5</v>
      </c>
      <c r="I11" s="108">
        <f t="shared" si="0"/>
        <v>3</v>
      </c>
      <c r="J11" s="141">
        <v>2</v>
      </c>
      <c r="K11" s="172">
        <v>0</v>
      </c>
      <c r="L11" s="148" t="s">
        <v>48</v>
      </c>
      <c r="M11" s="108">
        <f t="shared" si="1"/>
        <v>1</v>
      </c>
      <c r="N11" s="213">
        <v>1</v>
      </c>
      <c r="O11" s="151" t="s">
        <v>55</v>
      </c>
      <c r="P11" s="78" t="s">
        <v>50</v>
      </c>
      <c r="Q11" s="78" t="s">
        <v>51</v>
      </c>
      <c r="R11" s="133" t="s">
        <v>67</v>
      </c>
      <c r="S11" s="2"/>
      <c r="T11" s="2"/>
      <c r="U11" s="2"/>
      <c r="V11" s="2"/>
      <c r="W11" s="2"/>
      <c r="X11" s="2"/>
      <c r="Y11" s="2"/>
      <c r="Z11" s="2"/>
      <c r="AA11" s="2"/>
      <c r="AB11" s="2"/>
      <c r="AC11" s="2"/>
      <c r="AD11" s="2"/>
      <c r="AE11" s="2"/>
      <c r="AF11" s="2"/>
      <c r="AG11" s="2"/>
      <c r="AH11" s="2"/>
      <c r="AI11" s="2"/>
      <c r="AK11" s="143" t="s">
        <v>57</v>
      </c>
      <c r="AL11" s="143" t="s">
        <v>68</v>
      </c>
      <c r="AM11" s="143" t="s">
        <v>65</v>
      </c>
      <c r="AN11" s="143" t="s">
        <v>58</v>
      </c>
      <c r="AO11" s="143" t="s">
        <v>58</v>
      </c>
      <c r="AP11" s="143" t="s">
        <v>58</v>
      </c>
      <c r="AQ11" s="143" t="s">
        <v>58</v>
      </c>
      <c r="AR11" s="143" t="s">
        <v>58</v>
      </c>
      <c r="AS11" s="139" t="s">
        <v>44</v>
      </c>
      <c r="AT11" s="139" t="s">
        <v>44</v>
      </c>
      <c r="AU11" s="139" t="s">
        <v>44</v>
      </c>
      <c r="AV11" s="142" t="s">
        <v>59</v>
      </c>
      <c r="AW11" s="142" t="s">
        <v>59</v>
      </c>
      <c r="AX11" s="12" t="s">
        <v>43</v>
      </c>
      <c r="AY11" s="153" t="s">
        <v>48</v>
      </c>
      <c r="AZ11" s="139" t="s">
        <v>44</v>
      </c>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08"/>
      <c r="CP11" s="208"/>
      <c r="CQ11" s="196"/>
      <c r="CR11" s="196"/>
      <c r="CS11" s="196"/>
      <c r="CT11" s="208"/>
    </row>
    <row r="12" spans="2:98">
      <c r="B12" s="2">
        <v>7</v>
      </c>
      <c r="C12" s="145" t="s">
        <v>69</v>
      </c>
      <c r="D12" s="135">
        <v>1</v>
      </c>
      <c r="E12" s="146">
        <v>0</v>
      </c>
      <c r="F12" s="146">
        <v>0</v>
      </c>
      <c r="G12" s="146">
        <v>0</v>
      </c>
      <c r="H12" s="146">
        <v>0</v>
      </c>
      <c r="I12" s="108">
        <f t="shared" si="0"/>
        <v>0</v>
      </c>
      <c r="J12" s="141">
        <v>6</v>
      </c>
      <c r="K12" s="172">
        <v>0</v>
      </c>
      <c r="L12" s="148">
        <v>1</v>
      </c>
      <c r="M12" s="108">
        <f t="shared" si="1"/>
        <v>3</v>
      </c>
      <c r="N12" s="213">
        <v>2</v>
      </c>
      <c r="O12" s="182" t="s">
        <v>70</v>
      </c>
      <c r="P12" s="215" t="s">
        <v>50</v>
      </c>
      <c r="Q12" s="78" t="s">
        <v>51</v>
      </c>
      <c r="R12" s="187" t="s">
        <v>71</v>
      </c>
      <c r="S12" s="2"/>
      <c r="T12" s="2"/>
      <c r="U12" s="2"/>
      <c r="V12" s="2"/>
      <c r="W12" s="2"/>
      <c r="X12" s="2"/>
      <c r="Y12" s="2"/>
      <c r="Z12" s="2"/>
      <c r="AA12" s="2"/>
      <c r="AB12" s="2"/>
      <c r="AC12" s="142" t="s">
        <v>59</v>
      </c>
      <c r="AD12" s="142" t="s">
        <v>59</v>
      </c>
      <c r="AE12" s="142" t="s">
        <v>59</v>
      </c>
      <c r="AF12" s="142" t="s">
        <v>59</v>
      </c>
      <c r="AG12" s="142" t="s">
        <v>59</v>
      </c>
      <c r="AH12" s="142" t="s">
        <v>59</v>
      </c>
      <c r="AI12" s="12" t="s">
        <v>42</v>
      </c>
      <c r="AJ12" s="12" t="s">
        <v>43</v>
      </c>
      <c r="AK12" s="12" t="s">
        <v>43</v>
      </c>
      <c r="AL12" s="139" t="s">
        <v>44</v>
      </c>
      <c r="AM12" s="139" t="s">
        <v>44</v>
      </c>
      <c r="AN12" s="139" t="s">
        <v>44</v>
      </c>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08"/>
      <c r="CP12" s="208"/>
      <c r="CQ12" s="196"/>
      <c r="CR12" s="196"/>
      <c r="CS12" s="196"/>
      <c r="CT12" s="208"/>
    </row>
    <row r="13" spans="2:98">
      <c r="B13" s="2">
        <v>8</v>
      </c>
      <c r="C13" s="145" t="s">
        <v>72</v>
      </c>
      <c r="D13" s="135">
        <v>1</v>
      </c>
      <c r="E13" s="146">
        <v>0</v>
      </c>
      <c r="F13" s="146">
        <v>0</v>
      </c>
      <c r="G13" s="146">
        <v>0</v>
      </c>
      <c r="H13" s="146">
        <v>0</v>
      </c>
      <c r="I13" s="108">
        <f t="shared" si="0"/>
        <v>0</v>
      </c>
      <c r="J13" s="141">
        <v>3</v>
      </c>
      <c r="K13" s="172">
        <v>0</v>
      </c>
      <c r="L13" s="148">
        <v>1</v>
      </c>
      <c r="M13" s="108">
        <f t="shared" si="1"/>
        <v>2</v>
      </c>
      <c r="N13" s="213">
        <v>1</v>
      </c>
      <c r="O13" s="151" t="s">
        <v>70</v>
      </c>
      <c r="P13" s="78" t="s">
        <v>61</v>
      </c>
      <c r="Q13" s="78" t="s">
        <v>51</v>
      </c>
      <c r="R13" s="133" t="s">
        <v>71</v>
      </c>
      <c r="S13" s="2"/>
      <c r="T13" s="2"/>
      <c r="U13" s="2"/>
      <c r="V13" s="2"/>
      <c r="W13" s="2"/>
      <c r="X13" s="2"/>
      <c r="Y13" s="2"/>
      <c r="Z13" s="2"/>
      <c r="AA13" s="2"/>
      <c r="AB13" s="2"/>
      <c r="AC13" s="2"/>
      <c r="AD13" s="142" t="s">
        <v>59</v>
      </c>
      <c r="AE13" s="142" t="s">
        <v>59</v>
      </c>
      <c r="AF13" s="142" t="s">
        <v>59</v>
      </c>
      <c r="AG13" s="12" t="s">
        <v>42</v>
      </c>
      <c r="AH13" s="12" t="s">
        <v>43</v>
      </c>
      <c r="AI13" s="139" t="s">
        <v>44</v>
      </c>
      <c r="AJ13" s="162" t="s">
        <v>44</v>
      </c>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08"/>
      <c r="CP13" s="208"/>
      <c r="CQ13" s="196"/>
      <c r="CR13" s="196"/>
      <c r="CS13" s="196"/>
      <c r="CT13" s="208"/>
    </row>
    <row r="14" spans="2:98">
      <c r="B14" s="2">
        <v>9</v>
      </c>
      <c r="C14" s="145" t="s">
        <v>73</v>
      </c>
      <c r="D14" s="147">
        <v>1</v>
      </c>
      <c r="E14" s="146">
        <v>0</v>
      </c>
      <c r="F14" s="146">
        <v>0</v>
      </c>
      <c r="G14" s="146">
        <v>0</v>
      </c>
      <c r="H14" s="146">
        <v>0</v>
      </c>
      <c r="I14" s="108">
        <f t="shared" si="0"/>
        <v>0</v>
      </c>
      <c r="J14" s="141">
        <v>10</v>
      </c>
      <c r="K14" s="172">
        <v>0</v>
      </c>
      <c r="L14" s="148" t="s">
        <v>48</v>
      </c>
      <c r="M14" s="108">
        <f t="shared" si="1"/>
        <v>3</v>
      </c>
      <c r="N14" s="213">
        <v>1</v>
      </c>
      <c r="O14" s="151" t="s">
        <v>70</v>
      </c>
      <c r="P14" s="78" t="s">
        <v>50</v>
      </c>
      <c r="Q14" s="78" t="s">
        <v>51</v>
      </c>
      <c r="R14" s="133" t="s">
        <v>74</v>
      </c>
      <c r="S14" s="2"/>
      <c r="T14" s="2"/>
      <c r="U14" s="2"/>
      <c r="V14" s="2"/>
      <c r="W14" s="2"/>
      <c r="X14" s="2"/>
      <c r="Y14" s="2"/>
      <c r="Z14" s="2"/>
      <c r="AC14" s="142" t="s">
        <v>59</v>
      </c>
      <c r="AD14" s="142" t="s">
        <v>59</v>
      </c>
      <c r="AE14" s="142" t="s">
        <v>59</v>
      </c>
      <c r="AF14" s="142" t="s">
        <v>59</v>
      </c>
      <c r="AG14" s="142" t="s">
        <v>59</v>
      </c>
      <c r="AH14" s="142" t="s">
        <v>59</v>
      </c>
      <c r="AI14" s="142" t="s">
        <v>59</v>
      </c>
      <c r="AJ14" s="142" t="s">
        <v>59</v>
      </c>
      <c r="AK14" s="142" t="s">
        <v>59</v>
      </c>
      <c r="AL14" s="164" t="s">
        <v>59</v>
      </c>
      <c r="AM14" s="12" t="s">
        <v>43</v>
      </c>
      <c r="AN14" s="153" t="s">
        <v>48</v>
      </c>
      <c r="AO14" s="139" t="s">
        <v>44</v>
      </c>
      <c r="AP14" s="139" t="s">
        <v>44</v>
      </c>
      <c r="AQ14" s="139" t="s">
        <v>44</v>
      </c>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08"/>
      <c r="CP14" s="208"/>
      <c r="CQ14" s="196"/>
      <c r="CR14" s="196"/>
      <c r="CS14" s="196"/>
      <c r="CT14" s="208"/>
    </row>
    <row r="15" spans="2:98">
      <c r="B15" s="2">
        <v>10</v>
      </c>
      <c r="C15" s="188" t="s">
        <v>75</v>
      </c>
      <c r="D15" s="135">
        <v>1</v>
      </c>
      <c r="E15" s="140">
        <v>3</v>
      </c>
      <c r="F15" s="140">
        <v>1</v>
      </c>
      <c r="G15" s="140">
        <v>1</v>
      </c>
      <c r="H15" s="140">
        <v>6</v>
      </c>
      <c r="I15" s="108">
        <f t="shared" si="0"/>
        <v>4</v>
      </c>
      <c r="J15" s="141">
        <v>2</v>
      </c>
      <c r="K15" s="172">
        <v>0</v>
      </c>
      <c r="L15" s="148" t="s">
        <v>48</v>
      </c>
      <c r="M15" s="108">
        <f t="shared" si="1"/>
        <v>1</v>
      </c>
      <c r="N15" s="213">
        <v>1</v>
      </c>
      <c r="O15" s="170" t="s">
        <v>70</v>
      </c>
      <c r="P15" s="78" t="s">
        <v>76</v>
      </c>
      <c r="Q15" s="78" t="s">
        <v>51</v>
      </c>
      <c r="R15" s="212" t="s">
        <v>77</v>
      </c>
      <c r="S15" s="82" t="s">
        <v>57</v>
      </c>
      <c r="T15" s="82" t="s">
        <v>57</v>
      </c>
      <c r="U15" s="82" t="s">
        <v>57</v>
      </c>
      <c r="V15" s="82" t="s">
        <v>68</v>
      </c>
      <c r="W15" s="82" t="s">
        <v>65</v>
      </c>
      <c r="X15" s="155" t="s">
        <v>58</v>
      </c>
      <c r="Y15" s="82" t="s">
        <v>58</v>
      </c>
      <c r="Z15" s="82" t="s">
        <v>58</v>
      </c>
      <c r="AA15" s="82" t="s">
        <v>58</v>
      </c>
      <c r="AB15" s="82" t="s">
        <v>58</v>
      </c>
      <c r="AC15" s="82" t="s">
        <v>58</v>
      </c>
      <c r="AD15" s="139" t="s">
        <v>44</v>
      </c>
      <c r="AE15" s="139" t="s">
        <v>44</v>
      </c>
      <c r="AF15" s="139" t="s">
        <v>44</v>
      </c>
      <c r="AG15" s="139" t="s">
        <v>44</v>
      </c>
      <c r="AH15" s="142" t="s">
        <v>59</v>
      </c>
      <c r="AI15" s="142" t="s">
        <v>59</v>
      </c>
      <c r="AJ15" s="163" t="s">
        <v>43</v>
      </c>
      <c r="AK15" s="153" t="s">
        <v>48</v>
      </c>
      <c r="AL15" s="139" t="s">
        <v>44</v>
      </c>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08"/>
      <c r="CP15" s="208"/>
      <c r="CQ15" s="196"/>
      <c r="CR15" s="196"/>
      <c r="CS15" s="196"/>
      <c r="CT15" s="208"/>
    </row>
    <row r="16" spans="2:98">
      <c r="B16" s="2">
        <v>15</v>
      </c>
      <c r="C16" s="145" t="s">
        <v>78</v>
      </c>
      <c r="D16" s="135">
        <v>4</v>
      </c>
      <c r="E16" s="140">
        <v>2</v>
      </c>
      <c r="F16" s="140">
        <v>1</v>
      </c>
      <c r="G16" s="140">
        <v>1</v>
      </c>
      <c r="H16" s="140">
        <v>7</v>
      </c>
      <c r="I16" s="108">
        <f t="shared" si="0"/>
        <v>4</v>
      </c>
      <c r="J16" s="141">
        <v>1</v>
      </c>
      <c r="K16" s="173">
        <v>1</v>
      </c>
      <c r="L16" s="148">
        <v>1</v>
      </c>
      <c r="M16" s="108">
        <f t="shared" si="1"/>
        <v>1</v>
      </c>
      <c r="N16" s="213">
        <v>1</v>
      </c>
      <c r="O16" s="151" t="s">
        <v>70</v>
      </c>
      <c r="P16" s="78" t="s">
        <v>61</v>
      </c>
      <c r="Q16" s="78" t="s">
        <v>51</v>
      </c>
      <c r="R16" s="201" t="s">
        <v>41</v>
      </c>
      <c r="S16" s="2"/>
      <c r="T16" s="2"/>
      <c r="U16" s="2"/>
      <c r="V16" s="2"/>
      <c r="W16" s="2"/>
      <c r="X16" s="2"/>
      <c r="Y16" s="2"/>
      <c r="Z16" s="2"/>
      <c r="AA16" s="2"/>
      <c r="AB16" s="2"/>
      <c r="AC16" s="2"/>
      <c r="AE16" s="143" t="s">
        <v>57</v>
      </c>
      <c r="AF16" s="143" t="s">
        <v>57</v>
      </c>
      <c r="AG16" s="165" t="s">
        <v>68</v>
      </c>
      <c r="AH16" s="143" t="s">
        <v>65</v>
      </c>
      <c r="AI16" s="143" t="s">
        <v>58</v>
      </c>
      <c r="AJ16" s="143" t="s">
        <v>58</v>
      </c>
      <c r="AK16" s="143" t="s">
        <v>58</v>
      </c>
      <c r="AL16" s="143" t="s">
        <v>58</v>
      </c>
      <c r="AM16" s="143" t="s">
        <v>58</v>
      </c>
      <c r="AN16" s="143" t="s">
        <v>58</v>
      </c>
      <c r="AO16" s="143" t="s">
        <v>58</v>
      </c>
      <c r="AP16" s="139" t="s">
        <v>44</v>
      </c>
      <c r="AQ16" s="139" t="s">
        <v>44</v>
      </c>
      <c r="AR16" s="139" t="s">
        <v>44</v>
      </c>
      <c r="AS16" s="139" t="s">
        <v>44</v>
      </c>
      <c r="AT16" s="142" t="s">
        <v>59</v>
      </c>
      <c r="AU16" s="171" t="s">
        <v>53</v>
      </c>
      <c r="AV16" s="12" t="s">
        <v>42</v>
      </c>
      <c r="AW16" s="12" t="s">
        <v>43</v>
      </c>
      <c r="AX16" s="139" t="s">
        <v>44</v>
      </c>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08"/>
      <c r="CP16" s="208"/>
      <c r="CQ16" s="196"/>
      <c r="CR16" s="196"/>
      <c r="CS16" s="196"/>
      <c r="CT16" s="208"/>
    </row>
    <row r="17" spans="2:98">
      <c r="B17" s="2" t="s">
        <v>79</v>
      </c>
      <c r="C17" s="188" t="s">
        <v>80</v>
      </c>
      <c r="D17" s="135">
        <v>1</v>
      </c>
      <c r="E17" s="140">
        <v>2</v>
      </c>
      <c r="F17" s="140">
        <v>0</v>
      </c>
      <c r="G17" s="140">
        <v>0</v>
      </c>
      <c r="H17" s="140">
        <v>12</v>
      </c>
      <c r="I17" s="108">
        <f t="shared" si="0"/>
        <v>5</v>
      </c>
      <c r="J17" s="141">
        <v>5</v>
      </c>
      <c r="K17" s="173">
        <v>4</v>
      </c>
      <c r="L17" s="148">
        <v>2</v>
      </c>
      <c r="M17" s="108">
        <f t="shared" si="1"/>
        <v>4</v>
      </c>
      <c r="N17" s="213">
        <v>1</v>
      </c>
      <c r="O17" s="170" t="s">
        <v>81</v>
      </c>
      <c r="P17" s="78" t="s">
        <v>61</v>
      </c>
      <c r="Q17" s="78" t="s">
        <v>51</v>
      </c>
      <c r="R17" s="187" t="s">
        <v>82</v>
      </c>
      <c r="S17" s="82" t="s">
        <v>57</v>
      </c>
      <c r="T17" s="82" t="s">
        <v>57</v>
      </c>
      <c r="U17" s="155" t="s">
        <v>58</v>
      </c>
      <c r="V17" s="155" t="s">
        <v>58</v>
      </c>
      <c r="W17" s="155" t="s">
        <v>58</v>
      </c>
      <c r="X17" s="183" t="s">
        <v>58</v>
      </c>
      <c r="Y17" s="183" t="s">
        <v>58</v>
      </c>
      <c r="AA17" s="82" t="s">
        <v>58</v>
      </c>
      <c r="AB17" s="82" t="s">
        <v>58</v>
      </c>
      <c r="AC17" s="82" t="s">
        <v>58</v>
      </c>
      <c r="AD17" s="143" t="s">
        <v>58</v>
      </c>
      <c r="AE17" s="143" t="s">
        <v>58</v>
      </c>
      <c r="AF17" s="143" t="s">
        <v>58</v>
      </c>
      <c r="AG17" s="143" t="s">
        <v>58</v>
      </c>
      <c r="AH17" s="139" t="s">
        <v>44</v>
      </c>
      <c r="AI17" s="139" t="s">
        <v>44</v>
      </c>
      <c r="AJ17" s="139" t="s">
        <v>44</v>
      </c>
      <c r="AK17" s="162" t="s">
        <v>44</v>
      </c>
      <c r="AL17" s="139" t="s">
        <v>44</v>
      </c>
      <c r="AM17" s="142" t="s">
        <v>59</v>
      </c>
      <c r="AN17" s="142" t="s">
        <v>59</v>
      </c>
      <c r="AO17" s="142" t="s">
        <v>59</v>
      </c>
      <c r="AP17" s="142" t="s">
        <v>59</v>
      </c>
      <c r="AQ17" s="142" t="s">
        <v>59</v>
      </c>
      <c r="AR17" s="171" t="s">
        <v>53</v>
      </c>
      <c r="AS17" s="171" t="s">
        <v>53</v>
      </c>
      <c r="AT17" s="171" t="s">
        <v>53</v>
      </c>
      <c r="AU17" s="171" t="s">
        <v>53</v>
      </c>
      <c r="AV17" s="12" t="s">
        <v>42</v>
      </c>
      <c r="AW17" s="12" t="s">
        <v>42</v>
      </c>
      <c r="AX17" s="12" t="s">
        <v>43</v>
      </c>
      <c r="AY17" s="139" t="s">
        <v>44</v>
      </c>
      <c r="AZ17" s="139" t="s">
        <v>44</v>
      </c>
      <c r="BA17" s="139" t="s">
        <v>44</v>
      </c>
      <c r="BB17" s="139" t="s">
        <v>44</v>
      </c>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08"/>
      <c r="CP17" s="208"/>
      <c r="CQ17" s="196"/>
      <c r="CR17" s="196"/>
      <c r="CS17" s="196"/>
      <c r="CT17" s="208"/>
    </row>
    <row r="18" spans="2:98">
      <c r="B18" s="2">
        <v>18</v>
      </c>
      <c r="C18" s="188" t="s">
        <v>83</v>
      </c>
      <c r="D18" s="135">
        <v>4</v>
      </c>
      <c r="E18" s="140">
        <v>2</v>
      </c>
      <c r="F18" s="140">
        <v>1</v>
      </c>
      <c r="G18" s="140">
        <v>1</v>
      </c>
      <c r="H18" s="140">
        <v>3</v>
      </c>
      <c r="I18" s="108">
        <f t="shared" si="0"/>
        <v>3</v>
      </c>
      <c r="J18" s="141">
        <v>2</v>
      </c>
      <c r="K18" s="174">
        <v>0</v>
      </c>
      <c r="L18" s="148" t="s">
        <v>48</v>
      </c>
      <c r="M18" s="108">
        <f t="shared" si="1"/>
        <v>1</v>
      </c>
      <c r="N18" s="213">
        <v>1</v>
      </c>
      <c r="O18" s="182" t="s">
        <v>81</v>
      </c>
      <c r="P18" s="78" t="s">
        <v>84</v>
      </c>
      <c r="Q18" s="78" t="s">
        <v>51</v>
      </c>
      <c r="R18" s="133" t="s">
        <v>85</v>
      </c>
      <c r="S18" s="2"/>
      <c r="T18" s="2"/>
      <c r="U18" s="2"/>
      <c r="V18" s="2"/>
      <c r="W18" s="2"/>
      <c r="X18" s="2"/>
      <c r="AH18" s="82" t="s">
        <v>57</v>
      </c>
      <c r="AI18" s="155" t="s">
        <v>57</v>
      </c>
      <c r="AJ18" s="143" t="s">
        <v>68</v>
      </c>
      <c r="AK18" s="143" t="s">
        <v>65</v>
      </c>
      <c r="AL18" s="143" t="s">
        <v>58</v>
      </c>
      <c r="AM18" s="143" t="s">
        <v>58</v>
      </c>
      <c r="AN18" s="143" t="s">
        <v>58</v>
      </c>
      <c r="AO18" s="139" t="s">
        <v>44</v>
      </c>
      <c r="AP18" s="139" t="s">
        <v>44</v>
      </c>
      <c r="AQ18" s="139" t="s">
        <v>44</v>
      </c>
      <c r="AR18" s="142" t="s">
        <v>59</v>
      </c>
      <c r="AS18" s="142" t="s">
        <v>59</v>
      </c>
      <c r="AT18" s="12" t="s">
        <v>43</v>
      </c>
      <c r="AU18" s="153" t="s">
        <v>48</v>
      </c>
      <c r="AV18" s="139" t="s">
        <v>44</v>
      </c>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08"/>
      <c r="CP18" s="208"/>
      <c r="CQ18" s="196"/>
      <c r="CR18" s="196"/>
      <c r="CS18" s="196"/>
      <c r="CT18" s="208"/>
    </row>
    <row r="19" spans="2:98">
      <c r="B19" s="2" t="s">
        <v>86</v>
      </c>
      <c r="C19" s="188" t="s">
        <v>87</v>
      </c>
      <c r="D19" s="135">
        <v>1</v>
      </c>
      <c r="E19" s="140">
        <v>1</v>
      </c>
      <c r="F19" s="140">
        <v>0</v>
      </c>
      <c r="G19" s="140">
        <v>1</v>
      </c>
      <c r="H19" s="140">
        <v>3</v>
      </c>
      <c r="I19" s="108">
        <f t="shared" si="0"/>
        <v>2</v>
      </c>
      <c r="J19" s="154">
        <v>2</v>
      </c>
      <c r="K19" s="173">
        <v>0</v>
      </c>
      <c r="L19" s="148" t="s">
        <v>48</v>
      </c>
      <c r="M19" s="108"/>
      <c r="N19" s="213">
        <v>1</v>
      </c>
      <c r="O19" s="177" t="s">
        <v>88</v>
      </c>
      <c r="P19" s="78" t="s">
        <v>61</v>
      </c>
      <c r="Q19" s="78" t="s">
        <v>51</v>
      </c>
      <c r="R19" s="187" t="s">
        <v>82</v>
      </c>
      <c r="S19" s="2"/>
      <c r="T19" s="82" t="s">
        <v>57</v>
      </c>
      <c r="U19" s="82" t="s">
        <v>65</v>
      </c>
      <c r="V19" s="82" t="s">
        <v>58</v>
      </c>
      <c r="W19" s="176"/>
      <c r="X19" s="176"/>
      <c r="Y19" s="176"/>
      <c r="Z19" s="176"/>
      <c r="AA19" s="176"/>
      <c r="AB19" s="82" t="s">
        <v>58</v>
      </c>
      <c r="AC19" s="82" t="s">
        <v>58</v>
      </c>
      <c r="AD19" s="139" t="s">
        <v>44</v>
      </c>
      <c r="AE19" s="139" t="s">
        <v>44</v>
      </c>
      <c r="AF19" s="2"/>
      <c r="AG19" s="142" t="s">
        <v>59</v>
      </c>
      <c r="AH19" s="142" t="s">
        <v>59</v>
      </c>
      <c r="AI19" s="153" t="s">
        <v>48</v>
      </c>
      <c r="AJ19" s="162" t="s">
        <v>44</v>
      </c>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08"/>
      <c r="CP19" s="208"/>
      <c r="CQ19" s="196"/>
      <c r="CR19" s="196"/>
      <c r="CS19" s="196"/>
      <c r="CT19" s="208"/>
    </row>
    <row r="20" spans="2:98">
      <c r="B20" s="2">
        <v>12</v>
      </c>
      <c r="C20" s="145" t="s">
        <v>89</v>
      </c>
      <c r="D20" s="135">
        <v>2</v>
      </c>
      <c r="E20" s="140">
        <v>2</v>
      </c>
      <c r="F20" s="140">
        <v>0</v>
      </c>
      <c r="G20" s="140">
        <v>1</v>
      </c>
      <c r="H20" s="140">
        <v>0</v>
      </c>
      <c r="I20" s="108">
        <f t="shared" si="0"/>
        <v>1</v>
      </c>
      <c r="J20" s="154">
        <v>2</v>
      </c>
      <c r="K20" s="173">
        <v>2</v>
      </c>
      <c r="L20" s="148" t="s">
        <v>48</v>
      </c>
      <c r="M20" s="108">
        <f t="shared" ref="M20:M27" si="2">CEILING((SUM(J20:L20)*0.3), 1)</f>
        <v>2</v>
      </c>
      <c r="N20" s="213">
        <v>1</v>
      </c>
      <c r="O20" s="78" t="s">
        <v>88</v>
      </c>
      <c r="P20" s="78" t="s">
        <v>61</v>
      </c>
      <c r="Q20" s="78" t="s">
        <v>51</v>
      </c>
      <c r="R20" s="133" t="s">
        <v>90</v>
      </c>
      <c r="S20" s="2"/>
      <c r="T20" s="2"/>
      <c r="U20" s="2"/>
      <c r="V20" s="2"/>
      <c r="W20" s="2"/>
      <c r="X20" s="2"/>
      <c r="Y20" s="2"/>
      <c r="Z20" s="2"/>
      <c r="AA20" s="2"/>
      <c r="AB20" s="2"/>
      <c r="AC20" s="2"/>
      <c r="AD20" s="2"/>
      <c r="AE20" s="2"/>
      <c r="AF20" s="143" t="s">
        <v>57</v>
      </c>
      <c r="AG20" s="143" t="s">
        <v>57</v>
      </c>
      <c r="AH20" s="143" t="s">
        <v>65</v>
      </c>
      <c r="AI20" s="139" t="s">
        <v>44</v>
      </c>
      <c r="AJ20" s="164" t="s">
        <v>59</v>
      </c>
      <c r="AK20" s="142" t="s">
        <v>59</v>
      </c>
      <c r="AL20" s="171" t="s">
        <v>53</v>
      </c>
      <c r="AM20" s="171" t="s">
        <v>53</v>
      </c>
      <c r="AN20" s="12" t="s">
        <v>43</v>
      </c>
      <c r="AO20" s="153" t="s">
        <v>48</v>
      </c>
      <c r="AP20" s="139" t="s">
        <v>44</v>
      </c>
      <c r="AQ20" s="139" t="s">
        <v>44</v>
      </c>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08"/>
      <c r="CP20" s="208"/>
      <c r="CQ20" s="196"/>
      <c r="CR20" s="196"/>
      <c r="CS20" s="196"/>
      <c r="CT20" s="208"/>
    </row>
    <row r="21" spans="2:98">
      <c r="B21" s="2">
        <v>14</v>
      </c>
      <c r="C21" s="145" t="s">
        <v>91</v>
      </c>
      <c r="D21" s="135">
        <v>4</v>
      </c>
      <c r="E21" s="140">
        <v>1</v>
      </c>
      <c r="F21" s="140">
        <v>0</v>
      </c>
      <c r="G21" s="140">
        <v>1</v>
      </c>
      <c r="H21" s="140">
        <v>3</v>
      </c>
      <c r="I21" s="108">
        <f t="shared" si="0"/>
        <v>2</v>
      </c>
      <c r="J21" s="154">
        <v>1</v>
      </c>
      <c r="K21" s="173">
        <v>2</v>
      </c>
      <c r="L21" s="148">
        <v>1</v>
      </c>
      <c r="M21" s="108">
        <f t="shared" si="2"/>
        <v>2</v>
      </c>
      <c r="N21" s="213">
        <v>1</v>
      </c>
      <c r="O21" s="78" t="s">
        <v>88</v>
      </c>
      <c r="P21" s="78" t="s">
        <v>50</v>
      </c>
      <c r="Q21" s="78" t="s">
        <v>51</v>
      </c>
      <c r="R21" s="206" t="s">
        <v>92</v>
      </c>
      <c r="S21" s="2"/>
      <c r="T21" s="2"/>
      <c r="U21" s="2"/>
      <c r="V21" s="2"/>
      <c r="W21" s="2"/>
      <c r="X21" s="2"/>
      <c r="Y21" s="2"/>
      <c r="Z21" s="2"/>
      <c r="AA21" s="2"/>
      <c r="AB21" s="2"/>
      <c r="AC21" s="2"/>
      <c r="AD21" s="2"/>
      <c r="AE21" s="2"/>
      <c r="AF21" s="2"/>
      <c r="AG21" s="2"/>
      <c r="AH21" s="2"/>
      <c r="AI21" s="2"/>
      <c r="AJ21" s="165" t="s">
        <v>57</v>
      </c>
      <c r="AK21" s="143" t="s">
        <v>65</v>
      </c>
      <c r="AL21" s="143" t="s">
        <v>58</v>
      </c>
      <c r="AM21" s="143" t="s">
        <v>58</v>
      </c>
      <c r="AN21" s="143" t="s">
        <v>58</v>
      </c>
      <c r="AO21" s="139" t="s">
        <v>44</v>
      </c>
      <c r="AP21" s="139" t="s">
        <v>44</v>
      </c>
      <c r="AQ21" s="142" t="s">
        <v>59</v>
      </c>
      <c r="AR21" s="171" t="s">
        <v>53</v>
      </c>
      <c r="AS21" s="171" t="s">
        <v>53</v>
      </c>
      <c r="AT21" s="12" t="s">
        <v>42</v>
      </c>
      <c r="AU21" s="12" t="s">
        <v>43</v>
      </c>
      <c r="AV21" s="153" t="s">
        <v>48</v>
      </c>
      <c r="AW21" s="139" t="s">
        <v>44</v>
      </c>
      <c r="AX21" s="139" t="s">
        <v>44</v>
      </c>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08"/>
      <c r="CP21" s="208"/>
      <c r="CQ21" s="196"/>
      <c r="CR21" s="196"/>
      <c r="CS21" s="196"/>
      <c r="CT21" s="208"/>
    </row>
    <row r="22" spans="2:98">
      <c r="B22" s="2">
        <v>20</v>
      </c>
      <c r="C22" s="145" t="s">
        <v>93</v>
      </c>
      <c r="D22" s="135">
        <v>4</v>
      </c>
      <c r="E22" s="140">
        <v>4</v>
      </c>
      <c r="F22" s="140">
        <v>1</v>
      </c>
      <c r="G22" s="140">
        <v>1</v>
      </c>
      <c r="H22" s="140">
        <v>5</v>
      </c>
      <c r="I22" s="108">
        <f t="shared" si="0"/>
        <v>4</v>
      </c>
      <c r="J22" s="154">
        <v>1</v>
      </c>
      <c r="K22" s="172">
        <v>0</v>
      </c>
      <c r="L22" s="148" t="s">
        <v>48</v>
      </c>
      <c r="M22" s="108">
        <f t="shared" si="2"/>
        <v>1</v>
      </c>
      <c r="N22" s="213">
        <v>1</v>
      </c>
      <c r="O22" s="78" t="s">
        <v>88</v>
      </c>
      <c r="P22" s="78" t="s">
        <v>61</v>
      </c>
      <c r="Q22" s="78" t="s">
        <v>51</v>
      </c>
      <c r="R22" s="133" t="s">
        <v>94</v>
      </c>
      <c r="S22" s="2"/>
      <c r="T22" s="2"/>
      <c r="U22" s="2"/>
      <c r="V22" s="2"/>
      <c r="W22" s="2"/>
      <c r="X22" s="2"/>
      <c r="Y22" s="2"/>
      <c r="Z22" s="2"/>
      <c r="AA22" s="2"/>
      <c r="AB22" s="2"/>
      <c r="AC22" s="2"/>
      <c r="AD22" s="2"/>
      <c r="AE22" s="2"/>
      <c r="AF22" s="2"/>
      <c r="AG22" s="2"/>
      <c r="AH22" s="2"/>
      <c r="AI22" s="2"/>
      <c r="AJ22" s="161"/>
      <c r="AK22" s="2"/>
      <c r="AQ22" s="143" t="s">
        <v>57</v>
      </c>
      <c r="AR22" s="143" t="s">
        <v>57</v>
      </c>
      <c r="AS22" s="143" t="s">
        <v>57</v>
      </c>
      <c r="AT22" s="143" t="s">
        <v>57</v>
      </c>
      <c r="AU22" s="143" t="s">
        <v>68</v>
      </c>
      <c r="AV22" s="143" t="s">
        <v>65</v>
      </c>
      <c r="AW22" s="143" t="s">
        <v>58</v>
      </c>
      <c r="AX22" s="143" t="s">
        <v>58</v>
      </c>
      <c r="AY22" s="143" t="s">
        <v>58</v>
      </c>
      <c r="AZ22" s="143" t="s">
        <v>58</v>
      </c>
      <c r="BA22" s="143" t="s">
        <v>58</v>
      </c>
      <c r="BB22" s="139" t="s">
        <v>44</v>
      </c>
      <c r="BC22" s="139" t="s">
        <v>44</v>
      </c>
      <c r="BD22" s="139" t="s">
        <v>44</v>
      </c>
      <c r="BE22" s="139" t="s">
        <v>44</v>
      </c>
      <c r="BF22" s="142" t="s">
        <v>59</v>
      </c>
      <c r="BG22" s="12" t="s">
        <v>43</v>
      </c>
      <c r="BH22" s="153" t="s">
        <v>48</v>
      </c>
      <c r="BI22" s="139" t="s">
        <v>44</v>
      </c>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08"/>
      <c r="CP22" s="208"/>
      <c r="CQ22" s="196"/>
      <c r="CR22" s="196"/>
      <c r="CS22" s="196"/>
      <c r="CT22" s="208"/>
    </row>
    <row r="23" spans="2:98">
      <c r="B23" s="2">
        <v>22</v>
      </c>
      <c r="C23" s="189" t="s">
        <v>95</v>
      </c>
      <c r="D23" s="136">
        <v>2</v>
      </c>
      <c r="E23" s="140">
        <v>3</v>
      </c>
      <c r="F23" s="140">
        <v>1</v>
      </c>
      <c r="G23" s="140">
        <v>2</v>
      </c>
      <c r="H23" s="140">
        <v>5</v>
      </c>
      <c r="I23" s="108">
        <f t="shared" si="0"/>
        <v>4</v>
      </c>
      <c r="J23" s="154">
        <v>8</v>
      </c>
      <c r="K23" s="173">
        <v>1</v>
      </c>
      <c r="L23" s="148" t="s">
        <v>48</v>
      </c>
      <c r="M23" s="108">
        <f t="shared" si="2"/>
        <v>3</v>
      </c>
      <c r="N23" s="213">
        <v>1</v>
      </c>
      <c r="O23" s="177" t="s">
        <v>96</v>
      </c>
      <c r="P23" s="78" t="s">
        <v>61</v>
      </c>
      <c r="Q23" s="78" t="s">
        <v>51</v>
      </c>
      <c r="R23" s="187" t="s">
        <v>97</v>
      </c>
      <c r="S23" s="2"/>
      <c r="T23" s="82" t="s">
        <v>57</v>
      </c>
      <c r="U23" s="82" t="s">
        <v>57</v>
      </c>
      <c r="V23" s="82" t="s">
        <v>57</v>
      </c>
      <c r="W23" s="82" t="s">
        <v>68</v>
      </c>
      <c r="X23" s="82" t="s">
        <v>65</v>
      </c>
      <c r="Y23" s="82" t="s">
        <v>65</v>
      </c>
      <c r="Z23" s="82" t="s">
        <v>58</v>
      </c>
      <c r="AA23" s="82" t="s">
        <v>58</v>
      </c>
      <c r="AB23" s="82" t="s">
        <v>58</v>
      </c>
      <c r="AC23" s="82" t="s">
        <v>58</v>
      </c>
      <c r="AD23" s="143" t="s">
        <v>58</v>
      </c>
      <c r="AE23" s="139" t="s">
        <v>44</v>
      </c>
      <c r="AF23" s="139" t="s">
        <v>44</v>
      </c>
      <c r="AG23" s="139" t="s">
        <v>44</v>
      </c>
      <c r="AH23" s="139" t="s">
        <v>44</v>
      </c>
      <c r="AI23" s="142" t="s">
        <v>59</v>
      </c>
      <c r="AJ23" s="164" t="s">
        <v>59</v>
      </c>
      <c r="AK23" s="142" t="s">
        <v>59</v>
      </c>
      <c r="AL23" s="142" t="s">
        <v>59</v>
      </c>
      <c r="AM23" s="142" t="s">
        <v>59</v>
      </c>
      <c r="AN23" s="142" t="s">
        <v>59</v>
      </c>
      <c r="AO23" s="142" t="s">
        <v>59</v>
      </c>
      <c r="AP23" s="142" t="s">
        <v>59</v>
      </c>
      <c r="AQ23" s="171" t="s">
        <v>53</v>
      </c>
      <c r="AR23" s="12" t="s">
        <v>43</v>
      </c>
      <c r="AS23" s="153" t="s">
        <v>48</v>
      </c>
      <c r="AT23" s="139" t="s">
        <v>44</v>
      </c>
      <c r="AU23" s="139" t="s">
        <v>44</v>
      </c>
      <c r="AV23" s="139" t="s">
        <v>44</v>
      </c>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08"/>
      <c r="CP23" s="208"/>
      <c r="CQ23" s="196"/>
      <c r="CR23" s="196"/>
      <c r="CS23" s="196"/>
      <c r="CT23" s="208"/>
    </row>
    <row r="24" spans="2:98">
      <c r="B24" s="2">
        <v>19</v>
      </c>
      <c r="C24" s="145" t="s">
        <v>98</v>
      </c>
      <c r="D24" s="135">
        <v>4</v>
      </c>
      <c r="E24" s="140">
        <v>4</v>
      </c>
      <c r="F24" s="140">
        <v>1</v>
      </c>
      <c r="G24" s="140">
        <v>1</v>
      </c>
      <c r="H24" s="140">
        <v>8</v>
      </c>
      <c r="I24" s="108">
        <f t="shared" si="0"/>
        <v>5</v>
      </c>
      <c r="J24" s="154">
        <v>3</v>
      </c>
      <c r="K24" s="173">
        <v>3</v>
      </c>
      <c r="L24" s="148" t="s">
        <v>48</v>
      </c>
      <c r="M24" s="108">
        <f t="shared" si="2"/>
        <v>2</v>
      </c>
      <c r="N24" s="213">
        <v>1</v>
      </c>
      <c r="O24" s="78" t="s">
        <v>96</v>
      </c>
      <c r="P24" s="78" t="s">
        <v>84</v>
      </c>
      <c r="Q24" s="78" t="s">
        <v>51</v>
      </c>
      <c r="R24" s="133" t="s">
        <v>99</v>
      </c>
      <c r="S24" s="2"/>
      <c r="T24" s="2"/>
      <c r="U24" s="2"/>
      <c r="V24" s="2"/>
      <c r="W24" s="2"/>
      <c r="X24" s="2"/>
      <c r="Y24" s="2"/>
      <c r="Z24" s="2"/>
      <c r="AA24" s="2"/>
      <c r="AB24" s="2"/>
      <c r="AC24" s="2"/>
      <c r="AD24" s="2"/>
      <c r="AE24" s="2"/>
      <c r="AF24" s="2"/>
      <c r="AG24" s="2"/>
      <c r="AH24" s="2"/>
      <c r="AI24" s="143" t="s">
        <v>57</v>
      </c>
      <c r="AJ24" s="165" t="s">
        <v>57</v>
      </c>
      <c r="AK24" s="143" t="s">
        <v>57</v>
      </c>
      <c r="AL24" s="143" t="s">
        <v>57</v>
      </c>
      <c r="AM24" s="143" t="s">
        <v>68</v>
      </c>
      <c r="AN24" s="143" t="s">
        <v>65</v>
      </c>
      <c r="AO24" s="143" t="s">
        <v>58</v>
      </c>
      <c r="AP24" s="143" t="s">
        <v>58</v>
      </c>
      <c r="AQ24" s="143" t="s">
        <v>58</v>
      </c>
      <c r="AR24" s="143" t="s">
        <v>58</v>
      </c>
      <c r="AS24" s="143" t="s">
        <v>58</v>
      </c>
      <c r="AT24" s="143" t="s">
        <v>58</v>
      </c>
      <c r="AU24" s="143" t="s">
        <v>58</v>
      </c>
      <c r="AV24" s="143" t="s">
        <v>58</v>
      </c>
      <c r="AW24" s="139" t="s">
        <v>44</v>
      </c>
      <c r="AX24" s="139" t="s">
        <v>44</v>
      </c>
      <c r="AY24" s="139" t="s">
        <v>44</v>
      </c>
      <c r="AZ24" s="139" t="s">
        <v>44</v>
      </c>
      <c r="BA24" s="139" t="s">
        <v>44</v>
      </c>
      <c r="BB24" s="142" t="s">
        <v>59</v>
      </c>
      <c r="BC24" s="142" t="s">
        <v>59</v>
      </c>
      <c r="BD24" s="142" t="s">
        <v>59</v>
      </c>
      <c r="BE24" s="171" t="s">
        <v>53</v>
      </c>
      <c r="BF24" s="171" t="s">
        <v>53</v>
      </c>
      <c r="BG24" s="171" t="s">
        <v>53</v>
      </c>
      <c r="BH24" s="12" t="s">
        <v>43</v>
      </c>
      <c r="BI24" s="153" t="s">
        <v>48</v>
      </c>
      <c r="BJ24" s="139" t="s">
        <v>44</v>
      </c>
      <c r="BK24" s="139" t="s">
        <v>44</v>
      </c>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08"/>
      <c r="CP24" s="208"/>
      <c r="CQ24" s="196"/>
      <c r="CR24" s="196"/>
      <c r="CS24" s="196"/>
      <c r="CT24" s="208"/>
    </row>
    <row r="25" spans="2:98" ht="13.5" customHeight="1">
      <c r="B25" s="2">
        <v>21</v>
      </c>
      <c r="C25" s="188" t="s">
        <v>100</v>
      </c>
      <c r="D25" s="135">
        <v>1</v>
      </c>
      <c r="E25" s="140">
        <v>3</v>
      </c>
      <c r="F25" s="140">
        <v>1</v>
      </c>
      <c r="G25" s="140">
        <v>1</v>
      </c>
      <c r="H25" s="140">
        <v>6</v>
      </c>
      <c r="I25" s="108">
        <f t="shared" si="0"/>
        <v>4</v>
      </c>
      <c r="J25" s="154">
        <v>3</v>
      </c>
      <c r="K25" s="173">
        <v>3</v>
      </c>
      <c r="L25" s="148" t="s">
        <v>48</v>
      </c>
      <c r="M25" s="108">
        <f t="shared" si="2"/>
        <v>2</v>
      </c>
      <c r="N25" s="213">
        <v>1</v>
      </c>
      <c r="O25" s="177" t="s">
        <v>49</v>
      </c>
      <c r="P25" s="78" t="s">
        <v>76</v>
      </c>
      <c r="Q25" s="78" t="s">
        <v>51</v>
      </c>
      <c r="R25" s="212" t="s">
        <v>101</v>
      </c>
      <c r="S25" s="82" t="s">
        <v>57</v>
      </c>
      <c r="T25" s="82" t="s">
        <v>57</v>
      </c>
      <c r="U25" s="82" t="s">
        <v>57</v>
      </c>
      <c r="V25" s="82" t="s">
        <v>68</v>
      </c>
      <c r="W25" s="82" t="s">
        <v>65</v>
      </c>
      <c r="X25" s="82" t="s">
        <v>58</v>
      </c>
      <c r="Y25" s="82" t="s">
        <v>58</v>
      </c>
      <c r="Z25" s="82" t="s">
        <v>58</v>
      </c>
      <c r="AA25" s="82" t="s">
        <v>58</v>
      </c>
      <c r="AB25" s="155" t="s">
        <v>58</v>
      </c>
      <c r="AC25" s="82" t="s">
        <v>58</v>
      </c>
      <c r="AD25" s="139" t="s">
        <v>44</v>
      </c>
      <c r="AE25" s="139" t="s">
        <v>44</v>
      </c>
      <c r="AF25" s="139" t="s">
        <v>44</v>
      </c>
      <c r="AG25" s="139" t="s">
        <v>44</v>
      </c>
      <c r="AH25" s="142" t="s">
        <v>59</v>
      </c>
      <c r="AI25" s="142" t="s">
        <v>59</v>
      </c>
      <c r="AJ25" s="164" t="s">
        <v>59</v>
      </c>
      <c r="AK25" s="171" t="s">
        <v>53</v>
      </c>
      <c r="AL25" s="171" t="s">
        <v>53</v>
      </c>
      <c r="AM25" s="171" t="s">
        <v>53</v>
      </c>
      <c r="AN25" s="12" t="s">
        <v>43</v>
      </c>
      <c r="AO25" s="153" t="s">
        <v>48</v>
      </c>
      <c r="AP25" s="139" t="s">
        <v>44</v>
      </c>
      <c r="AQ25" s="139" t="s">
        <v>44</v>
      </c>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08"/>
      <c r="CP25" s="208"/>
      <c r="CQ25" s="196"/>
      <c r="CR25" s="196"/>
      <c r="CS25" s="196"/>
      <c r="CT25" s="208"/>
    </row>
    <row r="26" spans="2:98">
      <c r="B26" s="2">
        <v>17</v>
      </c>
      <c r="C26" s="145" t="s">
        <v>102</v>
      </c>
      <c r="D26" s="135">
        <v>4</v>
      </c>
      <c r="E26" s="140">
        <v>2</v>
      </c>
      <c r="F26" s="140">
        <v>1</v>
      </c>
      <c r="G26" s="140">
        <v>1</v>
      </c>
      <c r="H26" s="140">
        <v>8</v>
      </c>
      <c r="I26" s="108">
        <f t="shared" si="0"/>
        <v>4</v>
      </c>
      <c r="J26" s="154">
        <v>3</v>
      </c>
      <c r="K26" s="172">
        <v>0</v>
      </c>
      <c r="L26" s="148" t="s">
        <v>48</v>
      </c>
      <c r="M26" s="108">
        <f t="shared" si="2"/>
        <v>1</v>
      </c>
      <c r="N26" s="213">
        <v>1</v>
      </c>
      <c r="O26" s="78" t="s">
        <v>49</v>
      </c>
      <c r="P26" s="78" t="s">
        <v>84</v>
      </c>
      <c r="Q26" s="78" t="s">
        <v>51</v>
      </c>
      <c r="R26" s="133" t="s">
        <v>85</v>
      </c>
      <c r="S26" s="2"/>
      <c r="T26" s="2"/>
      <c r="U26" s="2"/>
      <c r="V26" s="2"/>
      <c r="W26" s="2"/>
      <c r="X26" s="2"/>
      <c r="Y26" s="2"/>
      <c r="Z26" s="2"/>
      <c r="AA26" s="2"/>
      <c r="AB26" s="2"/>
      <c r="AC26" s="2"/>
      <c r="AD26" s="2"/>
      <c r="AE26" s="2"/>
      <c r="AF26" s="2"/>
      <c r="AG26" s="2"/>
      <c r="AH26" s="143" t="s">
        <v>57</v>
      </c>
      <c r="AI26" s="143" t="s">
        <v>57</v>
      </c>
      <c r="AJ26" s="165" t="s">
        <v>68</v>
      </c>
      <c r="AK26" s="143" t="s">
        <v>65</v>
      </c>
      <c r="AL26" s="143" t="s">
        <v>58</v>
      </c>
      <c r="AM26" s="143" t="s">
        <v>58</v>
      </c>
      <c r="AN26" s="143" t="s">
        <v>58</v>
      </c>
      <c r="AO26" s="143" t="s">
        <v>58</v>
      </c>
      <c r="AP26" s="143" t="s">
        <v>58</v>
      </c>
      <c r="AQ26" s="143" t="s">
        <v>58</v>
      </c>
      <c r="AR26" s="143" t="s">
        <v>58</v>
      </c>
      <c r="AS26" s="143" t="s">
        <v>58</v>
      </c>
      <c r="AT26" s="139" t="s">
        <v>44</v>
      </c>
      <c r="AU26" s="139" t="s">
        <v>44</v>
      </c>
      <c r="AV26" s="139" t="s">
        <v>44</v>
      </c>
      <c r="AW26" s="139" t="s">
        <v>44</v>
      </c>
      <c r="AX26" s="142" t="s">
        <v>59</v>
      </c>
      <c r="AY26" s="142" t="s">
        <v>59</v>
      </c>
      <c r="AZ26" s="142" t="s">
        <v>59</v>
      </c>
      <c r="BA26" s="12" t="s">
        <v>43</v>
      </c>
      <c r="BB26" s="153" t="s">
        <v>48</v>
      </c>
      <c r="BC26" s="139" t="s">
        <v>44</v>
      </c>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08"/>
      <c r="CP26" s="208"/>
      <c r="CQ26" s="196"/>
      <c r="CR26" s="196"/>
      <c r="CS26" s="196"/>
      <c r="CT26" s="208"/>
    </row>
    <row r="27" spans="2:98">
      <c r="B27" s="2">
        <v>13</v>
      </c>
      <c r="C27" s="145" t="s">
        <v>103</v>
      </c>
      <c r="D27" s="135">
        <v>5</v>
      </c>
      <c r="E27" s="140">
        <v>4</v>
      </c>
      <c r="F27" s="140">
        <v>1</v>
      </c>
      <c r="G27" s="140">
        <v>1</v>
      </c>
      <c r="H27" s="140">
        <v>7</v>
      </c>
      <c r="I27" s="108">
        <f t="shared" si="0"/>
        <v>4</v>
      </c>
      <c r="J27" s="154">
        <v>2</v>
      </c>
      <c r="K27" s="173">
        <v>2</v>
      </c>
      <c r="L27" s="148" t="s">
        <v>48</v>
      </c>
      <c r="M27" s="108">
        <f t="shared" si="2"/>
        <v>2</v>
      </c>
      <c r="N27" s="213">
        <v>1</v>
      </c>
      <c r="O27" s="78" t="s">
        <v>49</v>
      </c>
      <c r="P27" s="78" t="s">
        <v>76</v>
      </c>
      <c r="Q27" s="78" t="s">
        <v>51</v>
      </c>
      <c r="R27" s="133" t="s">
        <v>90</v>
      </c>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143" t="s">
        <v>57</v>
      </c>
      <c r="AY27" s="143" t="s">
        <v>57</v>
      </c>
      <c r="AZ27" s="143" t="s">
        <v>57</v>
      </c>
      <c r="BA27" s="143" t="s">
        <v>57</v>
      </c>
      <c r="BB27" s="143" t="s">
        <v>68</v>
      </c>
      <c r="BC27" s="143" t="s">
        <v>65</v>
      </c>
      <c r="BD27" s="143" t="s">
        <v>58</v>
      </c>
      <c r="BE27" s="143" t="s">
        <v>58</v>
      </c>
      <c r="BF27" s="143" t="s">
        <v>58</v>
      </c>
      <c r="BG27" s="143" t="s">
        <v>58</v>
      </c>
      <c r="BH27" s="143" t="s">
        <v>58</v>
      </c>
      <c r="BI27" s="143" t="s">
        <v>58</v>
      </c>
      <c r="BJ27" s="143" t="s">
        <v>58</v>
      </c>
      <c r="BK27" s="139" t="s">
        <v>44</v>
      </c>
      <c r="BL27" s="139" t="s">
        <v>44</v>
      </c>
      <c r="BM27" s="139" t="s">
        <v>44</v>
      </c>
      <c r="BN27" s="139" t="s">
        <v>44</v>
      </c>
      <c r="BO27" s="142" t="s">
        <v>59</v>
      </c>
      <c r="BP27" s="142" t="s">
        <v>59</v>
      </c>
      <c r="BQ27" s="171" t="s">
        <v>53</v>
      </c>
      <c r="BR27" s="171" t="s">
        <v>53</v>
      </c>
      <c r="BS27" s="12" t="s">
        <v>43</v>
      </c>
      <c r="BT27" s="153" t="s">
        <v>48</v>
      </c>
      <c r="BU27" s="139" t="s">
        <v>44</v>
      </c>
      <c r="BV27" s="139" t="s">
        <v>44</v>
      </c>
      <c r="BW27" s="2"/>
      <c r="BX27" s="2"/>
      <c r="BY27" s="2"/>
      <c r="BZ27" s="2"/>
      <c r="CA27" s="2"/>
      <c r="CB27" s="2"/>
      <c r="CC27" s="2"/>
      <c r="CD27" s="2"/>
      <c r="CE27" s="2"/>
      <c r="CF27" s="2"/>
      <c r="CG27" s="2"/>
      <c r="CH27" s="2"/>
      <c r="CI27" s="2"/>
      <c r="CJ27" s="2"/>
      <c r="CK27" s="2"/>
      <c r="CL27" s="2"/>
      <c r="CM27" s="2"/>
      <c r="CN27" s="2"/>
      <c r="CO27" s="208"/>
      <c r="CP27" s="208"/>
      <c r="CQ27" s="196"/>
      <c r="CR27" s="196"/>
      <c r="CS27" s="196"/>
      <c r="CT27" s="208"/>
    </row>
    <row r="28" spans="2:98" hidden="1">
      <c r="B28" s="88">
        <v>23</v>
      </c>
      <c r="C28" s="106" t="s">
        <v>104</v>
      </c>
      <c r="D28" s="137"/>
      <c r="E28" s="130"/>
      <c r="F28" s="130"/>
      <c r="G28" s="130"/>
      <c r="H28" s="130"/>
      <c r="I28" s="130"/>
      <c r="J28" s="130"/>
      <c r="K28" s="130"/>
      <c r="L28" s="130"/>
      <c r="M28" s="130"/>
      <c r="N28" s="149"/>
      <c r="O28" s="131"/>
      <c r="P28" s="78" t="s">
        <v>40</v>
      </c>
      <c r="Q28" s="78" t="s">
        <v>40</v>
      </c>
      <c r="R28" s="78"/>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10"/>
      <c r="CN28" s="210"/>
      <c r="CO28" s="211"/>
    </row>
    <row r="29" spans="2:98" hidden="1">
      <c r="B29" s="88">
        <v>24</v>
      </c>
      <c r="C29" s="106" t="s">
        <v>105</v>
      </c>
      <c r="D29" s="137"/>
      <c r="E29" s="130"/>
      <c r="F29" s="130"/>
      <c r="G29" s="130"/>
      <c r="H29" s="130"/>
      <c r="I29" s="130"/>
      <c r="J29" s="130"/>
      <c r="K29" s="130"/>
      <c r="L29" s="130"/>
      <c r="M29" s="130"/>
      <c r="N29" s="149"/>
      <c r="O29" s="131"/>
      <c r="P29" s="78" t="s">
        <v>40</v>
      </c>
      <c r="Q29" s="78" t="s">
        <v>40</v>
      </c>
      <c r="R29" s="78"/>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08"/>
    </row>
    <row r="30" spans="2:98" hidden="1">
      <c r="B30" s="82">
        <v>25</v>
      </c>
      <c r="C30" s="105" t="s">
        <v>106</v>
      </c>
      <c r="D30" s="138"/>
      <c r="E30" s="132"/>
      <c r="F30" s="132"/>
      <c r="G30" s="132"/>
      <c r="H30" s="132"/>
      <c r="I30" s="132"/>
      <c r="J30" s="132"/>
      <c r="K30" s="132"/>
      <c r="L30" s="132"/>
      <c r="M30" s="132"/>
      <c r="N30" s="150"/>
      <c r="O30" s="133"/>
      <c r="P30" s="78" t="s">
        <v>40</v>
      </c>
      <c r="Q30" s="78" t="s">
        <v>40</v>
      </c>
      <c r="R30" s="78"/>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08"/>
    </row>
    <row r="31" spans="2:98" hidden="1">
      <c r="B31" s="82">
        <v>26</v>
      </c>
      <c r="C31" s="105" t="s">
        <v>107</v>
      </c>
      <c r="D31" s="138"/>
      <c r="E31" s="132"/>
      <c r="F31" s="132"/>
      <c r="G31" s="132"/>
      <c r="H31" s="132"/>
      <c r="I31" s="132"/>
      <c r="J31" s="132"/>
      <c r="K31" s="132"/>
      <c r="L31" s="132"/>
      <c r="M31" s="132"/>
      <c r="N31" s="150"/>
      <c r="O31" s="133"/>
      <c r="P31" s="78" t="s">
        <v>40</v>
      </c>
      <c r="Q31" s="78" t="s">
        <v>40</v>
      </c>
      <c r="R31" s="78"/>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08"/>
    </row>
    <row r="32" spans="2:98" hidden="1">
      <c r="B32" s="82">
        <v>27</v>
      </c>
      <c r="C32" s="105" t="s">
        <v>108</v>
      </c>
      <c r="D32" s="138"/>
      <c r="E32" s="132"/>
      <c r="F32" s="132"/>
      <c r="G32" s="132"/>
      <c r="H32" s="132"/>
      <c r="I32" s="132"/>
      <c r="J32" s="132"/>
      <c r="K32" s="132"/>
      <c r="L32" s="132"/>
      <c r="M32" s="132"/>
      <c r="N32" s="150"/>
      <c r="O32" s="133"/>
      <c r="P32" s="78" t="s">
        <v>40</v>
      </c>
      <c r="Q32" s="78" t="s">
        <v>40</v>
      </c>
      <c r="R32" s="78"/>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08"/>
    </row>
    <row r="33" spans="2:93" hidden="1">
      <c r="B33" s="82">
        <v>28</v>
      </c>
      <c r="C33" s="105" t="s">
        <v>109</v>
      </c>
      <c r="D33" s="138"/>
      <c r="E33" s="132"/>
      <c r="F33" s="132"/>
      <c r="G33" s="132"/>
      <c r="H33" s="132"/>
      <c r="I33" s="132"/>
      <c r="J33" s="132"/>
      <c r="K33" s="132"/>
      <c r="L33" s="132"/>
      <c r="M33" s="132"/>
      <c r="N33" s="150"/>
      <c r="O33" s="133"/>
      <c r="P33" s="78" t="s">
        <v>40</v>
      </c>
      <c r="Q33" s="78" t="s">
        <v>40</v>
      </c>
      <c r="R33" s="78"/>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08"/>
    </row>
    <row r="34" spans="2:93" hidden="1">
      <c r="B34" s="82">
        <v>29</v>
      </c>
      <c r="C34" s="105" t="s">
        <v>110</v>
      </c>
      <c r="D34" s="138"/>
      <c r="E34" s="132"/>
      <c r="F34" s="132"/>
      <c r="G34" s="132"/>
      <c r="H34" s="132"/>
      <c r="I34" s="132"/>
      <c r="J34" s="132"/>
      <c r="K34" s="132"/>
      <c r="L34" s="132"/>
      <c r="M34" s="132"/>
      <c r="N34" s="150"/>
      <c r="O34" s="133"/>
      <c r="P34" s="78" t="s">
        <v>40</v>
      </c>
      <c r="Q34" s="78" t="s">
        <v>40</v>
      </c>
      <c r="R34" s="78"/>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08"/>
    </row>
    <row r="35" spans="2:93">
      <c r="J35">
        <f>SUM(J5:J34)</f>
        <v>68</v>
      </c>
      <c r="K35">
        <f>SUM(K5:K34)</f>
        <v>28</v>
      </c>
      <c r="AB35" s="158"/>
    </row>
  </sheetData>
  <mergeCells count="18">
    <mergeCell ref="CA2:CE2"/>
    <mergeCell ref="CF2:CJ2"/>
    <mergeCell ref="CK2:CO2"/>
    <mergeCell ref="CP2:CT2"/>
    <mergeCell ref="BV2:BZ2"/>
    <mergeCell ref="B3:R3"/>
    <mergeCell ref="AR2:AV2"/>
    <mergeCell ref="AW2:BA2"/>
    <mergeCell ref="BB2:BF2"/>
    <mergeCell ref="BG2:BK2"/>
    <mergeCell ref="BL2:BP2"/>
    <mergeCell ref="BQ2:BU2"/>
    <mergeCell ref="B2:R2"/>
    <mergeCell ref="S2:W2"/>
    <mergeCell ref="X2:AB2"/>
    <mergeCell ref="AC2:AG2"/>
    <mergeCell ref="AH2:AL2"/>
    <mergeCell ref="AM2:AQ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E53DA-6B77-409B-AA18-5A7D6EB438E9}">
  <dimension ref="B2:C25"/>
  <sheetViews>
    <sheetView zoomScale="130" zoomScaleNormal="130" workbookViewId="0">
      <selection activeCell="C27" sqref="C27"/>
    </sheetView>
  </sheetViews>
  <sheetFormatPr defaultRowHeight="14.45"/>
  <cols>
    <col min="1" max="1" width="2.85546875" customWidth="1"/>
    <col min="2" max="2" width="2.85546875" bestFit="1" customWidth="1"/>
    <col min="3" max="3" width="195.42578125" bestFit="1" customWidth="1"/>
    <col min="4" max="4" width="6.42578125" customWidth="1"/>
  </cols>
  <sheetData>
    <row r="2" spans="2:3">
      <c r="B2" s="87" t="s">
        <v>22</v>
      </c>
      <c r="C2" s="87" t="s">
        <v>111</v>
      </c>
    </row>
    <row r="3" spans="2:3">
      <c r="B3" s="2">
        <v>1</v>
      </c>
      <c r="C3" s="2" t="s">
        <v>112</v>
      </c>
    </row>
    <row r="4" spans="2:3">
      <c r="B4" s="2">
        <v>2</v>
      </c>
      <c r="C4" s="2" t="s">
        <v>113</v>
      </c>
    </row>
    <row r="5" spans="2:3">
      <c r="B5" s="2">
        <v>3</v>
      </c>
      <c r="C5" s="2" t="s">
        <v>114</v>
      </c>
    </row>
    <row r="6" spans="2:3">
      <c r="B6" s="2">
        <v>4</v>
      </c>
      <c r="C6" s="2" t="s">
        <v>115</v>
      </c>
    </row>
    <row r="7" spans="2:3">
      <c r="B7" s="2">
        <v>5</v>
      </c>
      <c r="C7" s="2" t="s">
        <v>116</v>
      </c>
    </row>
    <row r="8" spans="2:3">
      <c r="B8" s="2">
        <v>6</v>
      </c>
      <c r="C8" s="2" t="s">
        <v>117</v>
      </c>
    </row>
    <row r="9" spans="2:3">
      <c r="B9" s="2">
        <v>7</v>
      </c>
      <c r="C9" s="83" t="s">
        <v>118</v>
      </c>
    </row>
    <row r="10" spans="2:3">
      <c r="B10" s="2">
        <v>8</v>
      </c>
      <c r="C10" s="83" t="s">
        <v>119</v>
      </c>
    </row>
    <row r="11" spans="2:3">
      <c r="B11" s="2">
        <v>9</v>
      </c>
      <c r="C11" s="83" t="s">
        <v>120</v>
      </c>
    </row>
    <row r="12" spans="2:3">
      <c r="B12" s="2">
        <v>10</v>
      </c>
      <c r="C12" s="83" t="s">
        <v>121</v>
      </c>
    </row>
    <row r="13" spans="2:3">
      <c r="B13" s="2">
        <v>11</v>
      </c>
      <c r="C13" s="83" t="s">
        <v>122</v>
      </c>
    </row>
    <row r="14" spans="2:3">
      <c r="B14" s="2">
        <v>12</v>
      </c>
      <c r="C14" s="83" t="s">
        <v>123</v>
      </c>
    </row>
    <row r="15" spans="2:3">
      <c r="B15" s="2">
        <v>13</v>
      </c>
      <c r="C15" s="83" t="s">
        <v>118</v>
      </c>
    </row>
    <row r="16" spans="2:3">
      <c r="B16" s="2">
        <v>14</v>
      </c>
      <c r="C16" s="83" t="s">
        <v>119</v>
      </c>
    </row>
    <row r="19" spans="3:3">
      <c r="C19" s="106" t="s">
        <v>124</v>
      </c>
    </row>
    <row r="20" spans="3:3">
      <c r="C20" s="106" t="s">
        <v>125</v>
      </c>
    </row>
    <row r="21" spans="3:3">
      <c r="C21" s="105" t="s">
        <v>126</v>
      </c>
    </row>
    <row r="22" spans="3:3">
      <c r="C22" s="105" t="s">
        <v>127</v>
      </c>
    </row>
    <row r="23" spans="3:3">
      <c r="C23" s="105" t="s">
        <v>128</v>
      </c>
    </row>
    <row r="24" spans="3:3">
      <c r="C24" s="105" t="s">
        <v>129</v>
      </c>
    </row>
    <row r="25" spans="3:3">
      <c r="C25" s="105" t="s">
        <v>130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8EF1E-5762-4EB4-9D9B-3F9ECDE4192B}">
  <dimension ref="B2:N53"/>
  <sheetViews>
    <sheetView workbookViewId="0">
      <selection activeCell="E20" sqref="E20"/>
    </sheetView>
  </sheetViews>
  <sheetFormatPr defaultRowHeight="14.45"/>
  <cols>
    <col min="1" max="1" width="3.42578125" customWidth="1"/>
    <col min="2" max="2" width="4.7109375" bestFit="1" customWidth="1"/>
    <col min="3" max="3" width="7" bestFit="1" customWidth="1"/>
    <col min="4" max="4" width="25.5703125" customWidth="1"/>
    <col min="5" max="5" width="43.85546875" customWidth="1"/>
    <col min="6" max="6" width="13.140625" bestFit="1" customWidth="1"/>
    <col min="7" max="7" width="8.42578125" bestFit="1" customWidth="1"/>
    <col min="8" max="8" width="9" bestFit="1" customWidth="1"/>
    <col min="9" max="9" width="41.7109375" bestFit="1" customWidth="1"/>
    <col min="10" max="10" width="8.42578125" bestFit="1" customWidth="1"/>
    <col min="11" max="11" width="6.5703125" bestFit="1" customWidth="1"/>
    <col min="12" max="12" width="15" bestFit="1" customWidth="1"/>
    <col min="13" max="13" width="15" style="205" customWidth="1"/>
    <col min="14" max="14" width="12.140625" bestFit="1" customWidth="1"/>
  </cols>
  <sheetData>
    <row r="2" spans="2:14">
      <c r="B2" s="85" t="s">
        <v>22</v>
      </c>
      <c r="C2" s="85" t="s">
        <v>131</v>
      </c>
      <c r="D2" s="85" t="s">
        <v>132</v>
      </c>
      <c r="E2" s="85" t="s">
        <v>133</v>
      </c>
      <c r="F2" s="85" t="s">
        <v>134</v>
      </c>
      <c r="G2" s="85" t="s">
        <v>135</v>
      </c>
      <c r="H2" s="85" t="s">
        <v>136</v>
      </c>
      <c r="I2" s="85" t="s">
        <v>137</v>
      </c>
      <c r="J2" s="85" t="s">
        <v>138</v>
      </c>
      <c r="K2" s="85" t="s">
        <v>139</v>
      </c>
      <c r="L2" s="85" t="s">
        <v>140</v>
      </c>
      <c r="M2" s="175" t="s">
        <v>141</v>
      </c>
      <c r="N2" s="85" t="s">
        <v>142</v>
      </c>
    </row>
    <row r="3" spans="2:14" ht="72.599999999999994">
      <c r="B3" s="2">
        <v>1</v>
      </c>
      <c r="C3" s="2" t="s">
        <v>143</v>
      </c>
      <c r="D3" s="83" t="s">
        <v>144</v>
      </c>
      <c r="E3" s="83" t="s">
        <v>145</v>
      </c>
      <c r="F3" s="169">
        <v>46279</v>
      </c>
      <c r="G3" s="83" t="s">
        <v>146</v>
      </c>
      <c r="H3" s="83" t="s">
        <v>147</v>
      </c>
      <c r="I3" s="83" t="s">
        <v>148</v>
      </c>
      <c r="J3" s="83" t="s">
        <v>149</v>
      </c>
      <c r="K3" s="186"/>
      <c r="L3" s="169">
        <v>46279</v>
      </c>
      <c r="M3" s="203">
        <v>0</v>
      </c>
      <c r="N3" s="83" t="s">
        <v>150</v>
      </c>
    </row>
    <row r="4" spans="2:14" ht="43.5">
      <c r="B4" s="2">
        <v>2</v>
      </c>
      <c r="C4" s="2" t="s">
        <v>143</v>
      </c>
      <c r="D4" s="83" t="s">
        <v>151</v>
      </c>
      <c r="E4" s="83" t="s">
        <v>152</v>
      </c>
      <c r="F4" s="169">
        <v>46281</v>
      </c>
      <c r="G4" s="83" t="s">
        <v>55</v>
      </c>
      <c r="H4" s="83" t="s">
        <v>153</v>
      </c>
      <c r="I4" s="83" t="s">
        <v>154</v>
      </c>
      <c r="J4" s="83" t="s">
        <v>155</v>
      </c>
      <c r="K4" s="185"/>
      <c r="L4" s="169">
        <v>46281</v>
      </c>
      <c r="M4" s="203">
        <v>1</v>
      </c>
      <c r="N4" s="83" t="s">
        <v>150</v>
      </c>
    </row>
    <row r="5" spans="2:14" ht="130.5">
      <c r="B5" s="2">
        <v>3</v>
      </c>
      <c r="C5" s="2" t="s">
        <v>156</v>
      </c>
      <c r="D5" s="83" t="s">
        <v>157</v>
      </c>
      <c r="E5" s="83" t="s">
        <v>158</v>
      </c>
      <c r="F5" s="169">
        <v>46280</v>
      </c>
      <c r="G5" s="83" t="s">
        <v>81</v>
      </c>
      <c r="H5" s="83" t="s">
        <v>159</v>
      </c>
      <c r="I5" s="83" t="s">
        <v>160</v>
      </c>
      <c r="J5" s="83" t="s">
        <v>161</v>
      </c>
      <c r="K5" s="185"/>
      <c r="L5" s="169">
        <v>46289</v>
      </c>
      <c r="M5" s="203">
        <v>7</v>
      </c>
      <c r="N5" s="83" t="s">
        <v>150</v>
      </c>
    </row>
    <row r="6" spans="2:14" ht="174">
      <c r="B6" s="2">
        <v>4</v>
      </c>
      <c r="C6" s="2" t="s">
        <v>156</v>
      </c>
      <c r="D6" s="83" t="s">
        <v>162</v>
      </c>
      <c r="E6" s="83" t="s">
        <v>163</v>
      </c>
      <c r="F6" s="169">
        <v>46281</v>
      </c>
      <c r="G6" s="83" t="s">
        <v>81</v>
      </c>
      <c r="H6" s="83" t="s">
        <v>164</v>
      </c>
      <c r="I6" s="83" t="s">
        <v>165</v>
      </c>
      <c r="J6" s="83" t="s">
        <v>155</v>
      </c>
      <c r="K6" s="185"/>
      <c r="L6" s="169">
        <v>46287</v>
      </c>
      <c r="M6" s="203">
        <v>4</v>
      </c>
      <c r="N6" s="83" t="s">
        <v>150</v>
      </c>
    </row>
    <row r="7" spans="2:14" ht="87">
      <c r="B7" s="2">
        <v>5</v>
      </c>
      <c r="C7" s="2" t="s">
        <v>143</v>
      </c>
      <c r="D7" s="83" t="s">
        <v>166</v>
      </c>
      <c r="E7" s="83" t="s">
        <v>167</v>
      </c>
      <c r="F7" s="169">
        <v>46284</v>
      </c>
      <c r="G7" s="83" t="s">
        <v>168</v>
      </c>
      <c r="H7" s="83" t="s">
        <v>159</v>
      </c>
      <c r="I7" s="83" t="s">
        <v>169</v>
      </c>
      <c r="J7" s="83" t="s">
        <v>161</v>
      </c>
      <c r="K7" s="202"/>
      <c r="L7" s="169"/>
      <c r="M7" s="203"/>
      <c r="N7" s="83" t="s">
        <v>161</v>
      </c>
    </row>
    <row r="8" spans="2:14" ht="57.95">
      <c r="B8" s="2">
        <v>6</v>
      </c>
      <c r="C8" s="2" t="s">
        <v>156</v>
      </c>
      <c r="D8" s="83" t="s">
        <v>170</v>
      </c>
      <c r="E8" s="83" t="s">
        <v>171</v>
      </c>
      <c r="F8" s="169">
        <v>46293</v>
      </c>
      <c r="G8" s="83" t="s">
        <v>172</v>
      </c>
      <c r="H8" s="83" t="s">
        <v>173</v>
      </c>
      <c r="I8" s="83" t="s">
        <v>174</v>
      </c>
      <c r="J8" s="83" t="s">
        <v>161</v>
      </c>
      <c r="K8" s="202"/>
      <c r="L8" s="169"/>
      <c r="M8" s="203"/>
      <c r="N8" s="83" t="s">
        <v>161</v>
      </c>
    </row>
    <row r="9" spans="2:14">
      <c r="B9" s="2"/>
      <c r="C9" s="2"/>
      <c r="D9" s="83"/>
      <c r="E9" s="83"/>
      <c r="F9" s="169"/>
      <c r="G9" s="83"/>
      <c r="H9" s="83"/>
      <c r="I9" s="83"/>
      <c r="J9" s="83"/>
      <c r="K9" s="83"/>
      <c r="L9" s="169"/>
      <c r="M9" s="203"/>
      <c r="N9" s="83"/>
    </row>
    <row r="10" spans="2:14">
      <c r="B10" s="2"/>
      <c r="C10" s="2"/>
      <c r="D10" s="83"/>
      <c r="E10" s="83"/>
      <c r="F10" s="169"/>
      <c r="G10" s="83"/>
      <c r="H10" s="83"/>
      <c r="I10" s="83"/>
      <c r="J10" s="83"/>
      <c r="K10" s="83"/>
      <c r="L10" s="169"/>
      <c r="M10" s="203"/>
      <c r="N10" s="83"/>
    </row>
    <row r="11" spans="2:14">
      <c r="B11" s="2"/>
      <c r="C11" s="2"/>
      <c r="D11" s="83"/>
      <c r="E11" s="83"/>
      <c r="F11" s="169"/>
      <c r="G11" s="83"/>
      <c r="H11" s="83"/>
      <c r="I11" s="83"/>
      <c r="J11" s="83"/>
      <c r="K11" s="83"/>
      <c r="L11" s="169"/>
      <c r="M11" s="203"/>
      <c r="N11" s="83"/>
    </row>
    <row r="12" spans="2:14">
      <c r="B12" s="2"/>
      <c r="C12" s="2"/>
      <c r="D12" s="83"/>
      <c r="E12" s="83"/>
      <c r="F12" s="169"/>
      <c r="G12" s="83"/>
      <c r="H12" s="83"/>
      <c r="I12" s="83"/>
      <c r="J12" s="83"/>
      <c r="K12" s="83"/>
      <c r="L12" s="169"/>
      <c r="M12" s="203"/>
      <c r="N12" s="83"/>
    </row>
    <row r="13" spans="2:14">
      <c r="B13" s="2"/>
      <c r="C13" s="2"/>
      <c r="D13" s="83"/>
      <c r="E13" s="83"/>
      <c r="F13" s="169"/>
      <c r="G13" s="83"/>
      <c r="H13" s="83"/>
      <c r="I13" s="83"/>
      <c r="J13" s="83"/>
      <c r="K13" s="83"/>
      <c r="L13" s="169"/>
      <c r="M13" s="203"/>
      <c r="N13" s="83"/>
    </row>
    <row r="14" spans="2:14">
      <c r="B14" s="2"/>
      <c r="C14" s="2"/>
      <c r="D14" s="83"/>
      <c r="E14" s="83"/>
      <c r="F14" s="169"/>
      <c r="G14" s="83"/>
      <c r="H14" s="83"/>
      <c r="I14" s="83"/>
      <c r="J14" s="83"/>
      <c r="K14" s="83"/>
      <c r="L14" s="169"/>
      <c r="M14" s="203"/>
      <c r="N14" s="83"/>
    </row>
    <row r="15" spans="2:14">
      <c r="B15" s="2"/>
      <c r="C15" s="2"/>
      <c r="D15" s="83"/>
      <c r="E15" s="83"/>
      <c r="F15" s="169"/>
      <c r="G15" s="83"/>
      <c r="H15" s="83"/>
      <c r="I15" s="83"/>
      <c r="J15" s="83"/>
      <c r="K15" s="83"/>
      <c r="L15" s="169"/>
      <c r="M15" s="203"/>
      <c r="N15" s="83"/>
    </row>
    <row r="16" spans="2:14">
      <c r="B16" s="2"/>
      <c r="C16" s="2"/>
      <c r="D16" s="83"/>
      <c r="E16" s="83"/>
      <c r="F16" s="169"/>
      <c r="G16" s="83"/>
      <c r="H16" s="83"/>
      <c r="I16" s="83"/>
      <c r="J16" s="83"/>
      <c r="K16" s="83"/>
      <c r="L16" s="169"/>
      <c r="M16" s="203"/>
      <c r="N16" s="83"/>
    </row>
    <row r="17" spans="2:14">
      <c r="B17" s="2"/>
      <c r="C17" s="2"/>
      <c r="D17" s="83"/>
      <c r="E17" s="83"/>
      <c r="F17" s="169"/>
      <c r="G17" s="83"/>
      <c r="H17" s="83"/>
      <c r="I17" s="83"/>
      <c r="J17" s="83"/>
      <c r="K17" s="83"/>
      <c r="L17" s="169"/>
      <c r="M17" s="203"/>
      <c r="N17" s="83"/>
    </row>
    <row r="18" spans="2:14">
      <c r="B18" s="2"/>
      <c r="C18" s="2"/>
      <c r="D18" s="83"/>
      <c r="E18" s="83"/>
      <c r="F18" s="169"/>
      <c r="G18" s="83"/>
      <c r="H18" s="83"/>
      <c r="I18" s="83"/>
      <c r="J18" s="83"/>
      <c r="K18" s="83"/>
      <c r="L18" s="169"/>
      <c r="M18" s="203"/>
      <c r="N18" s="83"/>
    </row>
    <row r="19" spans="2:14">
      <c r="B19" s="2"/>
      <c r="C19" s="2"/>
      <c r="D19" s="83"/>
      <c r="E19" s="83"/>
      <c r="F19" s="169"/>
      <c r="G19" s="83"/>
      <c r="H19" s="83"/>
      <c r="I19" s="83"/>
      <c r="J19" s="83"/>
      <c r="K19" s="83"/>
      <c r="L19" s="169"/>
      <c r="M19" s="203"/>
      <c r="N19" s="83"/>
    </row>
    <row r="20" spans="2:14">
      <c r="B20" s="2"/>
      <c r="C20" s="2"/>
      <c r="D20" s="83"/>
      <c r="E20" s="83"/>
      <c r="F20" s="169"/>
      <c r="G20" s="83"/>
      <c r="H20" s="83"/>
      <c r="I20" s="83"/>
      <c r="J20" s="83"/>
      <c r="K20" s="83"/>
      <c r="L20" s="169"/>
      <c r="M20" s="203"/>
      <c r="N20" s="83"/>
    </row>
    <row r="21" spans="2:14">
      <c r="B21" s="2"/>
      <c r="C21" s="2"/>
      <c r="D21" s="83"/>
      <c r="E21" s="83"/>
      <c r="F21" s="169"/>
      <c r="G21" s="83"/>
      <c r="H21" s="83"/>
      <c r="I21" s="83"/>
      <c r="J21" s="83"/>
      <c r="K21" s="83"/>
      <c r="L21" s="169"/>
      <c r="M21" s="203"/>
      <c r="N21" s="83"/>
    </row>
    <row r="22" spans="2:14">
      <c r="B22" s="2"/>
      <c r="C22" s="2"/>
      <c r="D22" s="83"/>
      <c r="E22" s="83"/>
      <c r="F22" s="169"/>
      <c r="G22" s="83"/>
      <c r="H22" s="83"/>
      <c r="I22" s="83"/>
      <c r="J22" s="83"/>
      <c r="K22" s="83"/>
      <c r="L22" s="169"/>
      <c r="M22" s="203"/>
      <c r="N22" s="83"/>
    </row>
    <row r="23" spans="2:14">
      <c r="D23" s="168"/>
      <c r="E23" s="168"/>
      <c r="F23" s="168"/>
      <c r="G23" s="168"/>
      <c r="H23" s="168"/>
      <c r="I23" s="168"/>
      <c r="J23" s="168"/>
      <c r="K23" s="168"/>
      <c r="L23" s="168"/>
      <c r="M23" s="204"/>
      <c r="N23" s="168"/>
    </row>
    <row r="24" spans="2:14">
      <c r="D24" s="168"/>
      <c r="E24" s="168"/>
      <c r="F24" s="168"/>
      <c r="G24" s="168"/>
      <c r="H24" s="168"/>
      <c r="I24" s="168"/>
      <c r="J24" s="168"/>
      <c r="K24" s="168"/>
      <c r="L24" s="168"/>
      <c r="M24" s="204"/>
      <c r="N24" s="168"/>
    </row>
    <row r="25" spans="2:14">
      <c r="D25" s="168"/>
      <c r="E25" s="168"/>
      <c r="F25" s="168"/>
      <c r="G25" s="168"/>
      <c r="H25" s="168"/>
      <c r="I25" s="168"/>
      <c r="J25" s="168"/>
      <c r="K25" s="168"/>
      <c r="L25" s="168"/>
      <c r="M25" s="204"/>
      <c r="N25" s="168"/>
    </row>
    <row r="26" spans="2:14">
      <c r="D26" s="168"/>
      <c r="E26" s="168"/>
      <c r="F26" s="168"/>
      <c r="G26" s="168"/>
      <c r="H26" s="168"/>
      <c r="I26" s="168"/>
      <c r="J26" s="168"/>
      <c r="K26" s="168"/>
      <c r="L26" s="168"/>
      <c r="M26" s="204"/>
      <c r="N26" s="168"/>
    </row>
    <row r="27" spans="2:14">
      <c r="D27" s="168"/>
      <c r="E27" s="168"/>
      <c r="F27" s="168"/>
      <c r="G27" s="168"/>
      <c r="H27" s="168"/>
      <c r="I27" s="168"/>
      <c r="J27" s="168"/>
      <c r="K27" s="168"/>
      <c r="L27" s="168"/>
      <c r="M27" s="204"/>
      <c r="N27" s="168"/>
    </row>
    <row r="28" spans="2:14">
      <c r="D28" s="168"/>
      <c r="E28" s="168"/>
      <c r="F28" s="168"/>
      <c r="G28" s="168"/>
      <c r="H28" s="168"/>
      <c r="I28" s="168"/>
      <c r="J28" s="168"/>
      <c r="K28" s="168"/>
      <c r="L28" s="168"/>
      <c r="M28" s="204"/>
      <c r="N28" s="168"/>
    </row>
    <row r="29" spans="2:14">
      <c r="D29" s="168"/>
      <c r="E29" s="168"/>
      <c r="F29" s="168"/>
      <c r="G29" s="168"/>
      <c r="H29" s="168"/>
      <c r="I29" s="168"/>
      <c r="J29" s="168"/>
      <c r="K29" s="168"/>
      <c r="L29" s="168"/>
      <c r="M29" s="204"/>
      <c r="N29" s="168"/>
    </row>
    <row r="30" spans="2:14">
      <c r="D30" s="168"/>
      <c r="E30" s="168"/>
      <c r="F30" s="168"/>
      <c r="G30" s="168"/>
      <c r="H30" s="168"/>
      <c r="I30" s="168"/>
      <c r="J30" s="168"/>
      <c r="K30" s="168"/>
      <c r="L30" s="168"/>
      <c r="M30" s="204"/>
      <c r="N30" s="168"/>
    </row>
    <row r="31" spans="2:14">
      <c r="D31" s="168"/>
      <c r="E31" s="168"/>
      <c r="F31" s="168"/>
      <c r="G31" s="168"/>
      <c r="H31" s="168"/>
      <c r="I31" s="168"/>
      <c r="J31" s="168"/>
      <c r="K31" s="168"/>
      <c r="L31" s="168"/>
      <c r="M31" s="204"/>
      <c r="N31" s="168"/>
    </row>
    <row r="32" spans="2:14">
      <c r="D32" s="168"/>
      <c r="E32" s="168"/>
      <c r="F32" s="168"/>
      <c r="G32" s="168"/>
      <c r="H32" s="168"/>
      <c r="I32" s="168"/>
      <c r="J32" s="168"/>
      <c r="K32" s="168"/>
      <c r="L32" s="168"/>
      <c r="M32" s="204"/>
      <c r="N32" s="168"/>
    </row>
    <row r="33" spans="4:14">
      <c r="D33" s="168"/>
      <c r="E33" s="168"/>
      <c r="F33" s="168"/>
      <c r="G33" s="168"/>
      <c r="H33" s="168"/>
      <c r="I33" s="168"/>
      <c r="J33" s="168"/>
      <c r="K33" s="168"/>
      <c r="L33" s="168"/>
      <c r="M33" s="204"/>
      <c r="N33" s="168"/>
    </row>
    <row r="34" spans="4:14">
      <c r="D34" s="168"/>
      <c r="E34" s="168"/>
      <c r="F34" s="168"/>
      <c r="G34" s="168"/>
      <c r="H34" s="168"/>
      <c r="I34" s="168"/>
      <c r="J34" s="168"/>
      <c r="K34" s="168"/>
      <c r="L34" s="168"/>
      <c r="M34" s="204"/>
      <c r="N34" s="168"/>
    </row>
    <row r="35" spans="4:14">
      <c r="D35" s="168"/>
      <c r="E35" s="168"/>
      <c r="F35" s="168"/>
      <c r="G35" s="168"/>
      <c r="H35" s="168"/>
      <c r="I35" s="168"/>
      <c r="J35" s="168"/>
      <c r="K35" s="168"/>
      <c r="L35" s="168"/>
      <c r="M35" s="204"/>
      <c r="N35" s="168"/>
    </row>
    <row r="36" spans="4:14">
      <c r="D36" s="168"/>
      <c r="E36" s="168"/>
      <c r="F36" s="168"/>
      <c r="G36" s="168"/>
      <c r="H36" s="168"/>
      <c r="I36" s="168"/>
      <c r="J36" s="168"/>
      <c r="K36" s="168"/>
      <c r="L36" s="168"/>
      <c r="M36" s="204"/>
      <c r="N36" s="168"/>
    </row>
    <row r="37" spans="4:14">
      <c r="D37" s="168"/>
      <c r="E37" s="168"/>
      <c r="F37" s="168"/>
      <c r="G37" s="168"/>
      <c r="H37" s="168"/>
      <c r="I37" s="168"/>
      <c r="J37" s="168"/>
      <c r="K37" s="168"/>
      <c r="L37" s="168"/>
      <c r="M37" s="204"/>
      <c r="N37" s="168"/>
    </row>
    <row r="38" spans="4:14">
      <c r="D38" s="168"/>
      <c r="E38" s="168"/>
      <c r="F38" s="168"/>
      <c r="G38" s="168"/>
      <c r="H38" s="168"/>
      <c r="I38" s="168"/>
      <c r="J38" s="168"/>
      <c r="K38" s="168"/>
      <c r="L38" s="168"/>
      <c r="M38" s="204"/>
      <c r="N38" s="168"/>
    </row>
    <row r="39" spans="4:14">
      <c r="D39" s="168"/>
      <c r="E39" s="168"/>
      <c r="F39" s="168"/>
      <c r="G39" s="168"/>
      <c r="H39" s="168"/>
      <c r="I39" s="168"/>
      <c r="J39" s="168"/>
      <c r="K39" s="168"/>
      <c r="L39" s="168"/>
      <c r="M39" s="204"/>
      <c r="N39" s="168"/>
    </row>
    <row r="40" spans="4:14">
      <c r="D40" s="168"/>
      <c r="E40" s="168"/>
      <c r="F40" s="168"/>
      <c r="G40" s="168"/>
      <c r="H40" s="168"/>
      <c r="I40" s="168"/>
      <c r="J40" s="168"/>
      <c r="K40" s="168"/>
      <c r="L40" s="168"/>
      <c r="M40" s="204"/>
      <c r="N40" s="168"/>
    </row>
    <row r="41" spans="4:14">
      <c r="D41" s="168"/>
      <c r="E41" s="168"/>
      <c r="F41" s="168"/>
      <c r="G41" s="168"/>
      <c r="H41" s="168"/>
      <c r="I41" s="168"/>
      <c r="J41" s="168"/>
      <c r="K41" s="168"/>
      <c r="L41" s="168"/>
      <c r="M41" s="204"/>
      <c r="N41" s="168"/>
    </row>
    <row r="42" spans="4:14">
      <c r="D42" s="168"/>
      <c r="E42" s="168"/>
      <c r="F42" s="168"/>
      <c r="G42" s="168"/>
      <c r="H42" s="168"/>
      <c r="I42" s="168"/>
      <c r="J42" s="168"/>
      <c r="K42" s="168"/>
      <c r="L42" s="168"/>
      <c r="M42" s="204"/>
      <c r="N42" s="168"/>
    </row>
    <row r="43" spans="4:14">
      <c r="D43" s="168"/>
      <c r="E43" s="168"/>
      <c r="F43" s="168"/>
      <c r="G43" s="168"/>
      <c r="H43" s="168"/>
      <c r="I43" s="168"/>
      <c r="J43" s="168"/>
      <c r="K43" s="168"/>
      <c r="L43" s="168"/>
      <c r="M43" s="204"/>
      <c r="N43" s="168"/>
    </row>
    <row r="44" spans="4:14">
      <c r="D44" s="168"/>
      <c r="E44" s="168"/>
      <c r="F44" s="168"/>
      <c r="G44" s="168"/>
      <c r="H44" s="168"/>
      <c r="I44" s="168"/>
      <c r="J44" s="168"/>
      <c r="K44" s="168"/>
      <c r="L44" s="168"/>
      <c r="M44" s="204"/>
      <c r="N44" s="168"/>
    </row>
    <row r="45" spans="4:14">
      <c r="D45" s="168"/>
      <c r="E45" s="168"/>
      <c r="F45" s="168"/>
      <c r="G45" s="168"/>
      <c r="H45" s="168"/>
      <c r="I45" s="168"/>
      <c r="J45" s="168"/>
      <c r="K45" s="168"/>
      <c r="L45" s="168"/>
      <c r="M45" s="204"/>
      <c r="N45" s="168"/>
    </row>
    <row r="46" spans="4:14">
      <c r="D46" s="168"/>
      <c r="E46" s="168"/>
      <c r="F46" s="168"/>
      <c r="G46" s="168"/>
      <c r="H46" s="168"/>
      <c r="I46" s="168"/>
      <c r="J46" s="168"/>
      <c r="K46" s="168"/>
      <c r="L46" s="168"/>
      <c r="M46" s="204"/>
      <c r="N46" s="168"/>
    </row>
    <row r="47" spans="4:14">
      <c r="D47" s="168"/>
      <c r="E47" s="168"/>
      <c r="F47" s="168"/>
      <c r="G47" s="168"/>
      <c r="H47" s="168"/>
      <c r="I47" s="168"/>
      <c r="J47" s="168"/>
      <c r="K47" s="168"/>
      <c r="L47" s="168"/>
      <c r="M47" s="204"/>
      <c r="N47" s="168"/>
    </row>
    <row r="48" spans="4:14">
      <c r="D48" s="168"/>
      <c r="E48" s="168"/>
      <c r="F48" s="168"/>
      <c r="G48" s="168"/>
      <c r="H48" s="168"/>
      <c r="I48" s="168"/>
      <c r="J48" s="168"/>
      <c r="K48" s="168"/>
      <c r="L48" s="168"/>
      <c r="M48" s="204"/>
      <c r="N48" s="168"/>
    </row>
    <row r="49" spans="4:14">
      <c r="D49" s="168"/>
      <c r="E49" s="168"/>
      <c r="F49" s="168"/>
      <c r="G49" s="168"/>
      <c r="H49" s="168"/>
      <c r="I49" s="168"/>
      <c r="J49" s="168"/>
      <c r="K49" s="168"/>
      <c r="L49" s="168"/>
      <c r="M49" s="204"/>
      <c r="N49" s="168"/>
    </row>
    <row r="50" spans="4:14">
      <c r="D50" s="168"/>
      <c r="E50" s="168"/>
      <c r="F50" s="168"/>
      <c r="G50" s="168"/>
      <c r="H50" s="168"/>
      <c r="I50" s="168"/>
      <c r="J50" s="168"/>
      <c r="K50" s="168"/>
      <c r="L50" s="168"/>
      <c r="M50" s="204"/>
      <c r="N50" s="168"/>
    </row>
    <row r="51" spans="4:14">
      <c r="D51" s="168"/>
      <c r="E51" s="168"/>
      <c r="F51" s="168"/>
      <c r="G51" s="168"/>
      <c r="H51" s="168"/>
      <c r="I51" s="168"/>
      <c r="J51" s="168"/>
      <c r="K51" s="168"/>
      <c r="L51" s="168"/>
      <c r="M51" s="204"/>
      <c r="N51" s="168"/>
    </row>
    <row r="52" spans="4:14">
      <c r="D52" s="168"/>
      <c r="E52" s="168"/>
      <c r="F52" s="168"/>
      <c r="G52" s="168"/>
      <c r="H52" s="168"/>
      <c r="I52" s="168"/>
      <c r="J52" s="168"/>
      <c r="K52" s="168"/>
      <c r="L52" s="168"/>
      <c r="M52" s="204"/>
      <c r="N52" s="168"/>
    </row>
    <row r="53" spans="4:14">
      <c r="D53" s="168"/>
      <c r="E53" s="168"/>
      <c r="F53" s="168"/>
      <c r="G53" s="168"/>
      <c r="H53" s="168"/>
      <c r="I53" s="168"/>
      <c r="J53" s="168"/>
      <c r="K53" s="168"/>
      <c r="L53" s="168"/>
      <c r="M53" s="204"/>
      <c r="N53" s="168"/>
    </row>
  </sheetData>
  <autoFilter ref="B2:P2" xr:uid="{B1B8EF1E-5762-4EB4-9D9B-3F9ECDE4192B}"/>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8FE7D-C7B0-45DD-9A15-5C11AB3A3142}">
  <dimension ref="B2:M53"/>
  <sheetViews>
    <sheetView workbookViewId="0">
      <selection activeCell="P15" sqref="P15"/>
    </sheetView>
  </sheetViews>
  <sheetFormatPr defaultRowHeight="14.45"/>
  <cols>
    <col min="1" max="1" width="3.42578125" customWidth="1"/>
    <col min="2" max="2" width="4.7109375" bestFit="1" customWidth="1"/>
    <col min="3" max="3" width="7" bestFit="1" customWidth="1"/>
    <col min="4" max="4" width="10.85546875" bestFit="1" customWidth="1"/>
    <col min="5" max="5" width="12.85546875" bestFit="1" customWidth="1"/>
    <col min="6" max="6" width="16.42578125" bestFit="1" customWidth="1"/>
    <col min="7" max="7" width="13.140625" bestFit="1" customWidth="1"/>
    <col min="8" max="8" width="8.42578125" bestFit="1" customWidth="1"/>
    <col min="9" max="9" width="9" bestFit="1" customWidth="1"/>
    <col min="10" max="10" width="10.42578125" bestFit="1" customWidth="1"/>
    <col min="11" max="11" width="8.42578125" bestFit="1" customWidth="1"/>
    <col min="12" max="12" width="15" bestFit="1" customWidth="1"/>
    <col min="13" max="13" width="12.140625" bestFit="1" customWidth="1"/>
  </cols>
  <sheetData>
    <row r="2" spans="2:13">
      <c r="B2" s="85" t="s">
        <v>22</v>
      </c>
      <c r="C2" s="85" t="s">
        <v>131</v>
      </c>
      <c r="D2" s="85" t="s">
        <v>132</v>
      </c>
      <c r="E2" s="85" t="s">
        <v>133</v>
      </c>
      <c r="F2" s="85" t="s">
        <v>175</v>
      </c>
      <c r="G2" s="85" t="s">
        <v>134</v>
      </c>
      <c r="H2" s="85" t="s">
        <v>135</v>
      </c>
      <c r="I2" s="85" t="s">
        <v>136</v>
      </c>
      <c r="J2" s="85" t="s">
        <v>176</v>
      </c>
      <c r="K2" s="85" t="s">
        <v>138</v>
      </c>
      <c r="L2" s="85" t="s">
        <v>177</v>
      </c>
      <c r="M2" s="85" t="s">
        <v>142</v>
      </c>
    </row>
    <row r="3" spans="2:13">
      <c r="B3" s="2">
        <v>1</v>
      </c>
      <c r="C3" s="2"/>
      <c r="D3" s="83"/>
      <c r="E3" s="83"/>
      <c r="F3" s="83"/>
      <c r="G3" s="169"/>
      <c r="H3" s="83"/>
      <c r="I3" s="83"/>
      <c r="J3" s="83"/>
      <c r="K3" s="83"/>
      <c r="L3" s="169"/>
      <c r="M3" s="83"/>
    </row>
    <row r="4" spans="2:13">
      <c r="B4" s="2">
        <v>2</v>
      </c>
      <c r="C4" s="2"/>
      <c r="D4" s="83"/>
      <c r="E4" s="83"/>
      <c r="F4" s="83"/>
      <c r="G4" s="169"/>
      <c r="H4" s="83"/>
      <c r="I4" s="83"/>
      <c r="J4" s="83"/>
      <c r="K4" s="83"/>
      <c r="L4" s="169"/>
      <c r="M4" s="83"/>
    </row>
    <row r="5" spans="2:13">
      <c r="B5" s="2">
        <v>3</v>
      </c>
      <c r="C5" s="2"/>
      <c r="D5" s="83"/>
      <c r="E5" s="83"/>
      <c r="F5" s="83"/>
      <c r="G5" s="169"/>
      <c r="H5" s="83"/>
      <c r="I5" s="83"/>
      <c r="J5" s="83"/>
      <c r="K5" s="83"/>
      <c r="L5" s="169"/>
      <c r="M5" s="83"/>
    </row>
    <row r="6" spans="2:13">
      <c r="B6" s="2">
        <v>4</v>
      </c>
      <c r="C6" s="2"/>
      <c r="D6" s="83"/>
      <c r="E6" s="83"/>
      <c r="F6" s="83"/>
      <c r="G6" s="169"/>
      <c r="H6" s="83"/>
      <c r="I6" s="83"/>
      <c r="J6" s="83"/>
      <c r="K6" s="83"/>
      <c r="L6" s="169"/>
      <c r="M6" s="83"/>
    </row>
    <row r="7" spans="2:13">
      <c r="B7" s="2"/>
      <c r="C7" s="2"/>
      <c r="D7" s="83"/>
      <c r="E7" s="83"/>
      <c r="F7" s="83"/>
      <c r="G7" s="169"/>
      <c r="H7" s="83"/>
      <c r="I7" s="83"/>
      <c r="J7" s="83"/>
      <c r="K7" s="83"/>
      <c r="L7" s="169"/>
      <c r="M7" s="83"/>
    </row>
    <row r="8" spans="2:13">
      <c r="B8" s="2"/>
      <c r="C8" s="2"/>
      <c r="D8" s="83"/>
      <c r="E8" s="83"/>
      <c r="F8" s="83"/>
      <c r="G8" s="169"/>
      <c r="H8" s="83"/>
      <c r="I8" s="83"/>
      <c r="J8" s="83"/>
      <c r="K8" s="83"/>
      <c r="L8" s="169"/>
      <c r="M8" s="83"/>
    </row>
    <row r="9" spans="2:13">
      <c r="B9" s="2"/>
      <c r="C9" s="2"/>
      <c r="D9" s="83"/>
      <c r="E9" s="83"/>
      <c r="F9" s="83"/>
      <c r="G9" s="169"/>
      <c r="H9" s="83"/>
      <c r="I9" s="83"/>
      <c r="J9" s="83"/>
      <c r="K9" s="83"/>
      <c r="L9" s="169"/>
      <c r="M9" s="83"/>
    </row>
    <row r="10" spans="2:13">
      <c r="B10" s="2"/>
      <c r="C10" s="2"/>
      <c r="D10" s="83"/>
      <c r="E10" s="83"/>
      <c r="F10" s="83"/>
      <c r="G10" s="169"/>
      <c r="H10" s="83"/>
      <c r="I10" s="83"/>
      <c r="J10" s="83"/>
      <c r="K10" s="83"/>
      <c r="L10" s="169"/>
      <c r="M10" s="83"/>
    </row>
    <row r="11" spans="2:13">
      <c r="B11" s="2"/>
      <c r="C11" s="2"/>
      <c r="D11" s="83"/>
      <c r="E11" s="83"/>
      <c r="F11" s="83"/>
      <c r="G11" s="169"/>
      <c r="H11" s="83"/>
      <c r="I11" s="83"/>
      <c r="J11" s="83"/>
      <c r="K11" s="83"/>
      <c r="L11" s="169"/>
      <c r="M11" s="83"/>
    </row>
    <row r="12" spans="2:13">
      <c r="B12" s="2"/>
      <c r="C12" s="2"/>
      <c r="D12" s="83"/>
      <c r="E12" s="83"/>
      <c r="F12" s="83"/>
      <c r="G12" s="169"/>
      <c r="H12" s="83"/>
      <c r="I12" s="83"/>
      <c r="J12" s="83"/>
      <c r="K12" s="83"/>
      <c r="L12" s="169"/>
      <c r="M12" s="83"/>
    </row>
    <row r="13" spans="2:13">
      <c r="B13" s="2"/>
      <c r="C13" s="2"/>
      <c r="D13" s="83"/>
      <c r="E13" s="83"/>
      <c r="F13" s="83"/>
      <c r="G13" s="169"/>
      <c r="H13" s="83"/>
      <c r="I13" s="83"/>
      <c r="J13" s="83"/>
      <c r="K13" s="83"/>
      <c r="L13" s="169"/>
      <c r="M13" s="83"/>
    </row>
    <row r="14" spans="2:13">
      <c r="B14" s="2"/>
      <c r="C14" s="2"/>
      <c r="D14" s="83"/>
      <c r="E14" s="83"/>
      <c r="F14" s="83"/>
      <c r="G14" s="169"/>
      <c r="H14" s="83"/>
      <c r="I14" s="83"/>
      <c r="J14" s="83"/>
      <c r="K14" s="83"/>
      <c r="L14" s="169"/>
      <c r="M14" s="83"/>
    </row>
    <row r="15" spans="2:13">
      <c r="B15" s="2"/>
      <c r="C15" s="2"/>
      <c r="D15" s="83"/>
      <c r="E15" s="83"/>
      <c r="F15" s="83"/>
      <c r="G15" s="169"/>
      <c r="H15" s="83"/>
      <c r="I15" s="83"/>
      <c r="J15" s="83"/>
      <c r="K15" s="83"/>
      <c r="L15" s="169"/>
      <c r="M15" s="83"/>
    </row>
    <row r="16" spans="2:13">
      <c r="B16" s="2"/>
      <c r="C16" s="2"/>
      <c r="D16" s="83"/>
      <c r="E16" s="83"/>
      <c r="F16" s="83"/>
      <c r="G16" s="169"/>
      <c r="H16" s="83"/>
      <c r="I16" s="83"/>
      <c r="J16" s="83"/>
      <c r="K16" s="83"/>
      <c r="L16" s="169"/>
      <c r="M16" s="83"/>
    </row>
    <row r="17" spans="2:13">
      <c r="B17" s="2"/>
      <c r="C17" s="2"/>
      <c r="D17" s="83"/>
      <c r="E17" s="83"/>
      <c r="F17" s="83"/>
      <c r="G17" s="169"/>
      <c r="H17" s="83"/>
      <c r="I17" s="83"/>
      <c r="J17" s="83"/>
      <c r="K17" s="83"/>
      <c r="L17" s="169"/>
      <c r="M17" s="83"/>
    </row>
    <row r="18" spans="2:13">
      <c r="B18" s="2"/>
      <c r="C18" s="2"/>
      <c r="D18" s="83"/>
      <c r="E18" s="83"/>
      <c r="F18" s="83"/>
      <c r="G18" s="169"/>
      <c r="H18" s="83"/>
      <c r="I18" s="83"/>
      <c r="J18" s="83"/>
      <c r="K18" s="83"/>
      <c r="L18" s="169"/>
      <c r="M18" s="83"/>
    </row>
    <row r="19" spans="2:13">
      <c r="B19" s="2"/>
      <c r="C19" s="2"/>
      <c r="D19" s="83"/>
      <c r="E19" s="83"/>
      <c r="F19" s="83"/>
      <c r="G19" s="169"/>
      <c r="H19" s="83"/>
      <c r="I19" s="83"/>
      <c r="J19" s="83"/>
      <c r="K19" s="83"/>
      <c r="L19" s="169"/>
      <c r="M19" s="83"/>
    </row>
    <row r="20" spans="2:13">
      <c r="B20" s="2"/>
      <c r="C20" s="2"/>
      <c r="D20" s="83"/>
      <c r="E20" s="83"/>
      <c r="F20" s="83"/>
      <c r="G20" s="169"/>
      <c r="H20" s="83"/>
      <c r="I20" s="83"/>
      <c r="J20" s="83"/>
      <c r="K20" s="83"/>
      <c r="L20" s="169"/>
      <c r="M20" s="83"/>
    </row>
    <row r="21" spans="2:13">
      <c r="B21" s="2"/>
      <c r="C21" s="2"/>
      <c r="D21" s="83"/>
      <c r="E21" s="83"/>
      <c r="F21" s="83"/>
      <c r="G21" s="169"/>
      <c r="H21" s="83"/>
      <c r="I21" s="83"/>
      <c r="J21" s="83"/>
      <c r="K21" s="83"/>
      <c r="L21" s="169"/>
      <c r="M21" s="83"/>
    </row>
    <row r="22" spans="2:13">
      <c r="B22" s="2"/>
      <c r="C22" s="2"/>
      <c r="D22" s="83"/>
      <c r="E22" s="83"/>
      <c r="F22" s="83"/>
      <c r="G22" s="169"/>
      <c r="H22" s="83"/>
      <c r="I22" s="83"/>
      <c r="J22" s="83"/>
      <c r="K22" s="83"/>
      <c r="L22" s="169"/>
      <c r="M22" s="83"/>
    </row>
    <row r="23" spans="2:13">
      <c r="D23" s="168"/>
      <c r="E23" s="168"/>
      <c r="F23" s="168"/>
      <c r="G23" s="168"/>
      <c r="H23" s="168"/>
      <c r="I23" s="168"/>
      <c r="J23" s="168"/>
      <c r="K23" s="168"/>
      <c r="L23" s="168"/>
      <c r="M23" s="168"/>
    </row>
    <row r="24" spans="2:13">
      <c r="D24" s="168"/>
      <c r="E24" s="168"/>
      <c r="F24" s="168"/>
      <c r="G24" s="168"/>
      <c r="H24" s="168"/>
      <c r="I24" s="168"/>
      <c r="J24" s="168"/>
      <c r="K24" s="168"/>
      <c r="L24" s="168"/>
      <c r="M24" s="168"/>
    </row>
    <row r="25" spans="2:13">
      <c r="D25" s="168"/>
      <c r="E25" s="168"/>
      <c r="F25" s="168"/>
      <c r="G25" s="168"/>
      <c r="H25" s="168"/>
      <c r="I25" s="168"/>
      <c r="J25" s="168"/>
      <c r="K25" s="168"/>
      <c r="L25" s="168"/>
      <c r="M25" s="168"/>
    </row>
    <row r="26" spans="2:13">
      <c r="D26" s="168"/>
      <c r="E26" s="168"/>
      <c r="F26" s="168"/>
      <c r="G26" s="168"/>
      <c r="H26" s="168"/>
      <c r="I26" s="168"/>
      <c r="J26" s="168"/>
      <c r="K26" s="168"/>
      <c r="L26" s="168"/>
      <c r="M26" s="168"/>
    </row>
    <row r="27" spans="2:13">
      <c r="D27" s="168"/>
      <c r="E27" s="168"/>
      <c r="F27" s="168"/>
      <c r="G27" s="168"/>
      <c r="H27" s="168"/>
      <c r="I27" s="168"/>
      <c r="J27" s="168"/>
      <c r="K27" s="168"/>
      <c r="L27" s="168"/>
      <c r="M27" s="168"/>
    </row>
    <row r="28" spans="2:13">
      <c r="D28" s="168"/>
      <c r="E28" s="168"/>
      <c r="F28" s="168"/>
      <c r="G28" s="168"/>
      <c r="H28" s="168"/>
      <c r="I28" s="168"/>
      <c r="J28" s="168"/>
      <c r="K28" s="168"/>
      <c r="L28" s="168"/>
      <c r="M28" s="168"/>
    </row>
    <row r="29" spans="2:13">
      <c r="D29" s="168"/>
      <c r="E29" s="168"/>
      <c r="F29" s="168"/>
      <c r="G29" s="168"/>
      <c r="H29" s="168"/>
      <c r="I29" s="168"/>
      <c r="J29" s="168"/>
      <c r="K29" s="168"/>
      <c r="L29" s="168"/>
      <c r="M29" s="168"/>
    </row>
    <row r="30" spans="2:13">
      <c r="D30" s="168"/>
      <c r="E30" s="168"/>
      <c r="F30" s="168"/>
      <c r="G30" s="168"/>
      <c r="H30" s="168"/>
      <c r="I30" s="168"/>
      <c r="J30" s="168"/>
      <c r="K30" s="168"/>
      <c r="L30" s="168"/>
      <c r="M30" s="168"/>
    </row>
    <row r="31" spans="2:13">
      <c r="D31" s="168"/>
      <c r="E31" s="168"/>
      <c r="F31" s="168"/>
      <c r="G31" s="168"/>
      <c r="H31" s="168"/>
      <c r="I31" s="168"/>
      <c r="J31" s="168"/>
      <c r="K31" s="168"/>
      <c r="L31" s="168"/>
      <c r="M31" s="168"/>
    </row>
    <row r="32" spans="2:13">
      <c r="D32" s="168"/>
      <c r="E32" s="168"/>
      <c r="F32" s="168"/>
      <c r="G32" s="168"/>
      <c r="H32" s="168"/>
      <c r="I32" s="168"/>
      <c r="J32" s="168"/>
      <c r="K32" s="168"/>
      <c r="L32" s="168"/>
      <c r="M32" s="168"/>
    </row>
    <row r="33" spans="4:13">
      <c r="D33" s="168"/>
      <c r="E33" s="168"/>
      <c r="F33" s="168"/>
      <c r="G33" s="168"/>
      <c r="H33" s="168"/>
      <c r="I33" s="168"/>
      <c r="J33" s="168"/>
      <c r="K33" s="168"/>
      <c r="L33" s="168"/>
      <c r="M33" s="168"/>
    </row>
    <row r="34" spans="4:13">
      <c r="D34" s="168"/>
      <c r="E34" s="168"/>
      <c r="F34" s="168"/>
      <c r="G34" s="168"/>
      <c r="H34" s="168"/>
      <c r="I34" s="168"/>
      <c r="J34" s="168"/>
      <c r="K34" s="168"/>
      <c r="L34" s="168"/>
      <c r="M34" s="168"/>
    </row>
    <row r="35" spans="4:13">
      <c r="D35" s="168"/>
      <c r="E35" s="168"/>
      <c r="F35" s="168"/>
      <c r="G35" s="168"/>
      <c r="H35" s="168"/>
      <c r="I35" s="168"/>
      <c r="J35" s="168"/>
      <c r="K35" s="168"/>
      <c r="L35" s="168"/>
      <c r="M35" s="168"/>
    </row>
    <row r="36" spans="4:13">
      <c r="D36" s="168"/>
      <c r="E36" s="168"/>
      <c r="F36" s="168"/>
      <c r="G36" s="168"/>
      <c r="H36" s="168"/>
      <c r="I36" s="168"/>
      <c r="J36" s="168"/>
      <c r="K36" s="168"/>
      <c r="L36" s="168"/>
      <c r="M36" s="168"/>
    </row>
    <row r="37" spans="4:13">
      <c r="D37" s="168"/>
      <c r="E37" s="168"/>
      <c r="F37" s="168"/>
      <c r="G37" s="168"/>
      <c r="H37" s="168"/>
      <c r="I37" s="168"/>
      <c r="J37" s="168"/>
      <c r="K37" s="168"/>
      <c r="L37" s="168"/>
      <c r="M37" s="168"/>
    </row>
    <row r="38" spans="4:13">
      <c r="D38" s="168"/>
      <c r="E38" s="168"/>
      <c r="F38" s="168"/>
      <c r="G38" s="168"/>
      <c r="H38" s="168"/>
      <c r="I38" s="168"/>
      <c r="J38" s="168"/>
      <c r="K38" s="168"/>
      <c r="L38" s="168"/>
      <c r="M38" s="168"/>
    </row>
    <row r="39" spans="4:13">
      <c r="D39" s="168"/>
      <c r="E39" s="168"/>
      <c r="F39" s="168"/>
      <c r="G39" s="168"/>
      <c r="H39" s="168"/>
      <c r="I39" s="168"/>
      <c r="J39" s="168"/>
      <c r="K39" s="168"/>
      <c r="L39" s="168"/>
      <c r="M39" s="168"/>
    </row>
    <row r="40" spans="4:13">
      <c r="D40" s="168"/>
      <c r="E40" s="168"/>
      <c r="F40" s="168"/>
      <c r="G40" s="168"/>
      <c r="H40" s="168"/>
      <c r="I40" s="168"/>
      <c r="J40" s="168"/>
      <c r="K40" s="168"/>
      <c r="L40" s="168"/>
      <c r="M40" s="168"/>
    </row>
    <row r="41" spans="4:13">
      <c r="D41" s="168"/>
      <c r="E41" s="168"/>
      <c r="F41" s="168"/>
      <c r="G41" s="168"/>
      <c r="H41" s="168"/>
      <c r="I41" s="168"/>
      <c r="J41" s="168"/>
      <c r="K41" s="168"/>
      <c r="L41" s="168"/>
      <c r="M41" s="168"/>
    </row>
    <row r="42" spans="4:13">
      <c r="D42" s="168"/>
      <c r="E42" s="168"/>
      <c r="F42" s="168"/>
      <c r="G42" s="168"/>
      <c r="H42" s="168"/>
      <c r="I42" s="168"/>
      <c r="J42" s="168"/>
      <c r="K42" s="168"/>
      <c r="L42" s="168"/>
      <c r="M42" s="168"/>
    </row>
    <row r="43" spans="4:13">
      <c r="D43" s="168"/>
      <c r="E43" s="168"/>
      <c r="F43" s="168"/>
      <c r="G43" s="168"/>
      <c r="H43" s="168"/>
      <c r="I43" s="168"/>
      <c r="J43" s="168"/>
      <c r="K43" s="168"/>
      <c r="L43" s="168"/>
      <c r="M43" s="168"/>
    </row>
    <row r="44" spans="4:13">
      <c r="D44" s="168"/>
      <c r="E44" s="168"/>
      <c r="F44" s="168"/>
      <c r="G44" s="168"/>
      <c r="H44" s="168"/>
      <c r="I44" s="168"/>
      <c r="J44" s="168"/>
      <c r="K44" s="168"/>
      <c r="L44" s="168"/>
      <c r="M44" s="168"/>
    </row>
    <row r="45" spans="4:13">
      <c r="D45" s="168"/>
      <c r="E45" s="168"/>
      <c r="F45" s="168"/>
      <c r="G45" s="168"/>
      <c r="H45" s="168"/>
      <c r="I45" s="168"/>
      <c r="J45" s="168"/>
      <c r="K45" s="168"/>
      <c r="L45" s="168"/>
      <c r="M45" s="168"/>
    </row>
    <row r="46" spans="4:13">
      <c r="D46" s="168"/>
      <c r="E46" s="168"/>
      <c r="F46" s="168"/>
      <c r="G46" s="168"/>
      <c r="H46" s="168"/>
      <c r="I46" s="168"/>
      <c r="J46" s="168"/>
      <c r="K46" s="168"/>
      <c r="L46" s="168"/>
      <c r="M46" s="168"/>
    </row>
    <row r="47" spans="4:13">
      <c r="D47" s="168"/>
      <c r="E47" s="168"/>
      <c r="F47" s="168"/>
      <c r="G47" s="168"/>
      <c r="H47" s="168"/>
      <c r="I47" s="168"/>
      <c r="J47" s="168"/>
      <c r="K47" s="168"/>
      <c r="L47" s="168"/>
      <c r="M47" s="168"/>
    </row>
    <row r="48" spans="4:13">
      <c r="D48" s="168"/>
      <c r="E48" s="168"/>
      <c r="F48" s="168"/>
      <c r="G48" s="168"/>
      <c r="H48" s="168"/>
      <c r="I48" s="168"/>
      <c r="J48" s="168"/>
      <c r="K48" s="168"/>
      <c r="L48" s="168"/>
      <c r="M48" s="168"/>
    </row>
    <row r="49" spans="4:13">
      <c r="D49" s="168"/>
      <c r="E49" s="168"/>
      <c r="F49" s="168"/>
      <c r="G49" s="168"/>
      <c r="H49" s="168"/>
      <c r="I49" s="168"/>
      <c r="J49" s="168"/>
      <c r="K49" s="168"/>
      <c r="L49" s="168"/>
      <c r="M49" s="168"/>
    </row>
    <row r="50" spans="4:13">
      <c r="D50" s="168"/>
      <c r="E50" s="168"/>
      <c r="F50" s="168"/>
      <c r="G50" s="168"/>
      <c r="H50" s="168"/>
      <c r="I50" s="168"/>
      <c r="J50" s="168"/>
      <c r="K50" s="168"/>
      <c r="L50" s="168"/>
      <c r="M50" s="168"/>
    </row>
    <row r="51" spans="4:13">
      <c r="D51" s="168"/>
      <c r="E51" s="168"/>
      <c r="F51" s="168"/>
      <c r="G51" s="168"/>
      <c r="H51" s="168"/>
      <c r="I51" s="168"/>
      <c r="J51" s="168"/>
      <c r="K51" s="168"/>
      <c r="L51" s="168"/>
      <c r="M51" s="168"/>
    </row>
    <row r="52" spans="4:13">
      <c r="D52" s="168"/>
      <c r="E52" s="168"/>
      <c r="F52" s="168"/>
      <c r="G52" s="168"/>
      <c r="H52" s="168"/>
      <c r="I52" s="168"/>
      <c r="J52" s="168"/>
      <c r="K52" s="168"/>
      <c r="L52" s="168"/>
      <c r="M52" s="168"/>
    </row>
    <row r="53" spans="4:13">
      <c r="D53" s="168"/>
      <c r="E53" s="168"/>
      <c r="F53" s="168"/>
      <c r="G53" s="168"/>
      <c r="H53" s="168"/>
      <c r="I53" s="168"/>
      <c r="J53" s="168"/>
      <c r="K53" s="168"/>
      <c r="L53" s="168"/>
      <c r="M53" s="168"/>
    </row>
  </sheetData>
  <autoFilter ref="B2:O2" xr:uid="{B1B8EF1E-5762-4EB4-9D9B-3F9ECDE4192B}"/>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C503D-2125-4992-B9B2-5AF439DD5477}">
  <dimension ref="B2:D16"/>
  <sheetViews>
    <sheetView zoomScale="140" zoomScaleNormal="140" workbookViewId="0">
      <selection activeCell="F2" sqref="F2"/>
    </sheetView>
  </sheetViews>
  <sheetFormatPr defaultRowHeight="14.45"/>
  <cols>
    <col min="1" max="1" width="3.42578125" customWidth="1"/>
    <col min="2" max="2" width="4.5703125" customWidth="1"/>
    <col min="3" max="3" width="14.42578125" customWidth="1"/>
    <col min="4" max="4" width="17.7109375" customWidth="1"/>
    <col min="7" max="7" width="13.42578125" bestFit="1" customWidth="1"/>
  </cols>
  <sheetData>
    <row r="2" spans="2:4">
      <c r="B2" s="87" t="s">
        <v>22</v>
      </c>
      <c r="C2" s="87" t="s">
        <v>178</v>
      </c>
      <c r="D2" s="87" t="s">
        <v>179</v>
      </c>
    </row>
    <row r="3" spans="2:4">
      <c r="B3" s="2">
        <v>1</v>
      </c>
      <c r="C3" s="2" t="s">
        <v>180</v>
      </c>
      <c r="D3" s="2" t="s">
        <v>181</v>
      </c>
    </row>
    <row r="4" spans="2:4">
      <c r="B4" s="2">
        <v>2</v>
      </c>
      <c r="C4" s="2" t="s">
        <v>182</v>
      </c>
      <c r="D4" s="2" t="s">
        <v>183</v>
      </c>
    </row>
    <row r="5" spans="2:4">
      <c r="B5" s="2">
        <v>3</v>
      </c>
      <c r="C5" s="2" t="s">
        <v>184</v>
      </c>
      <c r="D5" s="2" t="s">
        <v>185</v>
      </c>
    </row>
    <row r="6" spans="2:4">
      <c r="B6" s="2">
        <v>4</v>
      </c>
      <c r="C6" s="2" t="s">
        <v>55</v>
      </c>
      <c r="D6" s="2" t="s">
        <v>186</v>
      </c>
    </row>
    <row r="7" spans="2:4">
      <c r="B7" s="2">
        <v>5</v>
      </c>
      <c r="C7" s="2" t="s">
        <v>70</v>
      </c>
      <c r="D7" s="2" t="s">
        <v>186</v>
      </c>
    </row>
    <row r="8" spans="2:4">
      <c r="B8" s="2">
        <v>6</v>
      </c>
      <c r="C8" s="2" t="s">
        <v>81</v>
      </c>
      <c r="D8" s="2" t="s">
        <v>186</v>
      </c>
    </row>
    <row r="9" spans="2:4">
      <c r="B9" s="2">
        <v>7</v>
      </c>
      <c r="C9" s="2" t="s">
        <v>49</v>
      </c>
      <c r="D9" s="2" t="s">
        <v>186</v>
      </c>
    </row>
    <row r="10" spans="2:4">
      <c r="B10" s="2">
        <v>8</v>
      </c>
      <c r="C10" s="2" t="s">
        <v>88</v>
      </c>
      <c r="D10" s="2" t="s">
        <v>186</v>
      </c>
    </row>
    <row r="11" spans="2:4">
      <c r="B11" s="2">
        <v>9</v>
      </c>
      <c r="C11" s="2" t="s">
        <v>96</v>
      </c>
      <c r="D11" s="2" t="s">
        <v>186</v>
      </c>
    </row>
    <row r="12" spans="2:4">
      <c r="B12" s="2">
        <v>10</v>
      </c>
      <c r="C12" s="2" t="s">
        <v>50</v>
      </c>
      <c r="D12" s="2" t="s">
        <v>187</v>
      </c>
    </row>
    <row r="13" spans="2:4">
      <c r="B13" s="2">
        <v>11</v>
      </c>
      <c r="C13" s="2" t="s">
        <v>61</v>
      </c>
      <c r="D13" s="2" t="s">
        <v>187</v>
      </c>
    </row>
    <row r="14" spans="2:4">
      <c r="B14" s="2">
        <v>12</v>
      </c>
      <c r="C14" s="2" t="s">
        <v>51</v>
      </c>
      <c r="D14" s="2" t="s">
        <v>188</v>
      </c>
    </row>
    <row r="15" spans="2:4">
      <c r="B15" s="2">
        <v>13</v>
      </c>
      <c r="C15" s="2" t="s">
        <v>71</v>
      </c>
      <c r="D15" s="2" t="s">
        <v>189</v>
      </c>
    </row>
    <row r="16" spans="2:4">
      <c r="B16" s="2">
        <v>14</v>
      </c>
      <c r="C16" s="2" t="s">
        <v>190</v>
      </c>
      <c r="D16" s="2" t="s">
        <v>191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28D74-8643-4C48-AF3B-B3B68C5BA681}">
  <dimension ref="B1:CF25"/>
  <sheetViews>
    <sheetView zoomScale="140" zoomScaleNormal="140" workbookViewId="0">
      <selection activeCell="CB1" sqref="CB1:CF1048576"/>
    </sheetView>
  </sheetViews>
  <sheetFormatPr defaultColWidth="8.7109375" defaultRowHeight="12.95"/>
  <cols>
    <col min="1" max="1" width="2.140625" style="190" customWidth="1"/>
    <col min="2" max="2" width="2.5703125" style="190" bestFit="1" customWidth="1"/>
    <col min="3" max="3" width="11.42578125" style="190" bestFit="1" customWidth="1"/>
    <col min="4" max="4" width="3.42578125" style="190" bestFit="1" customWidth="1"/>
    <col min="5" max="7" width="3.140625" style="190" bestFit="1" customWidth="1"/>
    <col min="8" max="8" width="3.140625" style="190" customWidth="1"/>
    <col min="9" max="11" width="3.140625" style="190" bestFit="1" customWidth="1"/>
    <col min="12" max="13" width="3.140625" style="190" customWidth="1"/>
    <col min="14" max="18" width="3.140625" style="190" bestFit="1" customWidth="1"/>
    <col min="19" max="20" width="3.140625" style="190" customWidth="1"/>
    <col min="21" max="23" width="3.140625" style="190" bestFit="1" customWidth="1"/>
    <col min="24" max="24" width="3.140625" style="190" customWidth="1"/>
    <col min="25" max="27" width="3.140625" style="190" bestFit="1" customWidth="1"/>
    <col min="28" max="28" width="3.140625" style="190" customWidth="1"/>
    <col min="29" max="31" width="3.140625" style="190" bestFit="1" customWidth="1"/>
    <col min="32" max="32" width="3.140625" style="190" customWidth="1"/>
    <col min="33" max="34" width="3.140625" style="190" bestFit="1" customWidth="1"/>
    <col min="35" max="35" width="3.140625" style="190" customWidth="1"/>
    <col min="36" max="40" width="3.140625" style="190" bestFit="1" customWidth="1"/>
    <col min="41" max="42" width="3.140625" style="190" customWidth="1"/>
    <col min="43" max="43" width="3.140625" style="190" bestFit="1" customWidth="1"/>
    <col min="44" max="44" width="3.140625" style="190" customWidth="1"/>
    <col min="45" max="48" width="3.140625" style="190" bestFit="1" customWidth="1"/>
    <col min="49" max="49" width="3.140625" style="190" customWidth="1"/>
    <col min="50" max="53" width="3.140625" style="190" bestFit="1" customWidth="1"/>
    <col min="54" max="54" width="3.140625" style="190" customWidth="1"/>
    <col min="55" max="58" width="3.140625" style="190" bestFit="1" customWidth="1"/>
    <col min="59" max="59" width="3.140625" style="190" customWidth="1"/>
    <col min="60" max="63" width="3.140625" style="190" bestFit="1" customWidth="1"/>
    <col min="64" max="64" width="3.140625" style="190" customWidth="1"/>
    <col min="65" max="68" width="3.140625" style="190" bestFit="1" customWidth="1"/>
    <col min="69" max="69" width="3.140625" style="190" customWidth="1"/>
    <col min="70" max="73" width="3.140625" style="190" bestFit="1" customWidth="1"/>
    <col min="74" max="74" width="3.140625" style="190" customWidth="1"/>
    <col min="75" max="78" width="3.140625" style="190" bestFit="1" customWidth="1"/>
    <col min="79" max="79" width="3.140625" style="190" customWidth="1"/>
    <col min="80" max="83" width="3.140625" style="190" bestFit="1" customWidth="1"/>
    <col min="84" max="84" width="3.140625" style="190" customWidth="1"/>
    <col min="85" max="16384" width="8.7109375" style="190"/>
  </cols>
  <sheetData>
    <row r="1" spans="2:84" ht="9.9499999999999993" customHeight="1"/>
    <row r="2" spans="2:84">
      <c r="B2" s="191"/>
      <c r="C2" s="191"/>
      <c r="D2" s="191"/>
      <c r="E2" s="191" t="s">
        <v>18</v>
      </c>
      <c r="F2" s="191" t="s">
        <v>19</v>
      </c>
      <c r="G2" s="191" t="s">
        <v>20</v>
      </c>
      <c r="H2" s="191" t="s">
        <v>19</v>
      </c>
      <c r="I2" s="191" t="s">
        <v>21</v>
      </c>
      <c r="J2" s="191" t="s">
        <v>18</v>
      </c>
      <c r="K2" s="191" t="s">
        <v>19</v>
      </c>
      <c r="L2" s="191" t="s">
        <v>20</v>
      </c>
      <c r="M2" s="191" t="s">
        <v>19</v>
      </c>
      <c r="N2" s="191" t="s">
        <v>21</v>
      </c>
      <c r="O2" s="191" t="s">
        <v>18</v>
      </c>
      <c r="P2" s="191" t="s">
        <v>19</v>
      </c>
      <c r="Q2" s="191" t="s">
        <v>20</v>
      </c>
      <c r="R2" s="191" t="s">
        <v>19</v>
      </c>
      <c r="S2" s="192" t="s">
        <v>21</v>
      </c>
      <c r="T2" s="191" t="s">
        <v>18</v>
      </c>
      <c r="U2" s="191" t="s">
        <v>19</v>
      </c>
      <c r="V2" s="191" t="s">
        <v>20</v>
      </c>
      <c r="W2" s="191" t="s">
        <v>19</v>
      </c>
      <c r="X2" s="191" t="s">
        <v>21</v>
      </c>
      <c r="Y2" s="191" t="s">
        <v>18</v>
      </c>
      <c r="Z2" s="191" t="s">
        <v>19</v>
      </c>
      <c r="AA2" s="191" t="s">
        <v>20</v>
      </c>
      <c r="AB2" s="191" t="s">
        <v>19</v>
      </c>
      <c r="AC2" s="191" t="s">
        <v>21</v>
      </c>
      <c r="AD2" s="191" t="s">
        <v>18</v>
      </c>
      <c r="AE2" s="192" t="s">
        <v>19</v>
      </c>
      <c r="AF2" s="191" t="s">
        <v>20</v>
      </c>
      <c r="AG2" s="191" t="s">
        <v>19</v>
      </c>
      <c r="AH2" s="191" t="s">
        <v>21</v>
      </c>
      <c r="AI2" s="191" t="s">
        <v>18</v>
      </c>
      <c r="AJ2" s="191" t="s">
        <v>19</v>
      </c>
      <c r="AK2" s="191" t="s">
        <v>20</v>
      </c>
      <c r="AL2" s="191" t="s">
        <v>19</v>
      </c>
      <c r="AM2" s="191" t="s">
        <v>21</v>
      </c>
      <c r="AN2" s="191" t="s">
        <v>18</v>
      </c>
      <c r="AO2" s="191" t="s">
        <v>19</v>
      </c>
      <c r="AP2" s="191" t="s">
        <v>20</v>
      </c>
      <c r="AQ2" s="191" t="s">
        <v>19</v>
      </c>
      <c r="AR2" s="191" t="s">
        <v>21</v>
      </c>
      <c r="AS2" s="191" t="s">
        <v>18</v>
      </c>
      <c r="AT2" s="191" t="s">
        <v>19</v>
      </c>
      <c r="AU2" s="191" t="s">
        <v>20</v>
      </c>
      <c r="AV2" s="191" t="s">
        <v>19</v>
      </c>
      <c r="AW2" s="191" t="s">
        <v>21</v>
      </c>
      <c r="AX2" s="191" t="s">
        <v>18</v>
      </c>
      <c r="AY2" s="191" t="s">
        <v>19</v>
      </c>
      <c r="AZ2" s="191" t="s">
        <v>20</v>
      </c>
      <c r="BA2" s="191" t="s">
        <v>19</v>
      </c>
      <c r="BB2" s="191" t="s">
        <v>21</v>
      </c>
      <c r="BC2" s="191" t="s">
        <v>18</v>
      </c>
      <c r="BD2" s="191" t="s">
        <v>19</v>
      </c>
      <c r="BE2" s="191" t="s">
        <v>20</v>
      </c>
      <c r="BF2" s="191" t="s">
        <v>19</v>
      </c>
      <c r="BG2" s="191" t="s">
        <v>21</v>
      </c>
      <c r="BH2" s="191" t="s">
        <v>18</v>
      </c>
      <c r="BI2" s="191" t="s">
        <v>19</v>
      </c>
      <c r="BJ2" s="191" t="s">
        <v>20</v>
      </c>
      <c r="BK2" s="191" t="s">
        <v>19</v>
      </c>
      <c r="BL2" s="191" t="s">
        <v>21</v>
      </c>
      <c r="BM2" s="191" t="s">
        <v>18</v>
      </c>
      <c r="BN2" s="191" t="s">
        <v>19</v>
      </c>
      <c r="BO2" s="191" t="s">
        <v>20</v>
      </c>
      <c r="BP2" s="191" t="s">
        <v>19</v>
      </c>
      <c r="BQ2" s="191" t="s">
        <v>21</v>
      </c>
      <c r="BR2" s="191" t="s">
        <v>18</v>
      </c>
      <c r="BS2" s="191" t="s">
        <v>19</v>
      </c>
      <c r="BT2" s="191" t="s">
        <v>20</v>
      </c>
      <c r="BU2" s="191" t="s">
        <v>19</v>
      </c>
      <c r="BV2" s="191" t="s">
        <v>21</v>
      </c>
      <c r="BW2" s="191" t="s">
        <v>18</v>
      </c>
      <c r="BX2" s="191" t="s">
        <v>19</v>
      </c>
      <c r="BY2" s="191" t="s">
        <v>20</v>
      </c>
      <c r="BZ2" s="191" t="s">
        <v>19</v>
      </c>
      <c r="CA2" s="191" t="s">
        <v>21</v>
      </c>
      <c r="CB2" s="191" t="s">
        <v>18</v>
      </c>
      <c r="CC2" s="191" t="s">
        <v>19</v>
      </c>
      <c r="CD2" s="191" t="s">
        <v>20</v>
      </c>
      <c r="CE2" s="191" t="s">
        <v>19</v>
      </c>
      <c r="CF2" s="191" t="s">
        <v>21</v>
      </c>
    </row>
    <row r="3" spans="2:84" ht="27.95">
      <c r="B3" s="191" t="s">
        <v>22</v>
      </c>
      <c r="C3" s="193" t="s">
        <v>192</v>
      </c>
      <c r="D3" s="191" t="s">
        <v>193</v>
      </c>
      <c r="E3" s="194">
        <v>46279</v>
      </c>
      <c r="F3" s="194">
        <v>46280</v>
      </c>
      <c r="G3" s="194">
        <v>46281</v>
      </c>
      <c r="H3" s="194">
        <v>46282</v>
      </c>
      <c r="I3" s="194">
        <v>46283</v>
      </c>
      <c r="J3" s="194">
        <v>46286</v>
      </c>
      <c r="K3" s="194">
        <v>46287</v>
      </c>
      <c r="L3" s="194">
        <v>46288</v>
      </c>
      <c r="M3" s="194">
        <v>46289</v>
      </c>
      <c r="N3" s="194">
        <v>46290</v>
      </c>
      <c r="O3" s="194">
        <v>46293</v>
      </c>
      <c r="P3" s="194">
        <v>46294</v>
      </c>
      <c r="Q3" s="194">
        <v>46295</v>
      </c>
      <c r="R3" s="194">
        <v>46296</v>
      </c>
      <c r="S3" s="195">
        <v>46297</v>
      </c>
      <c r="T3" s="194">
        <v>46300</v>
      </c>
      <c r="U3" s="194">
        <v>46301</v>
      </c>
      <c r="V3" s="194">
        <v>46302</v>
      </c>
      <c r="W3" s="194">
        <v>46303</v>
      </c>
      <c r="X3" s="194">
        <v>46304</v>
      </c>
      <c r="Y3" s="194">
        <v>46307</v>
      </c>
      <c r="Z3" s="194">
        <v>46308</v>
      </c>
      <c r="AA3" s="194">
        <v>46309</v>
      </c>
      <c r="AB3" s="194">
        <v>46310</v>
      </c>
      <c r="AC3" s="194">
        <v>46311</v>
      </c>
      <c r="AD3" s="194">
        <v>46314</v>
      </c>
      <c r="AE3" s="195">
        <v>46315</v>
      </c>
      <c r="AF3" s="194">
        <v>46316</v>
      </c>
      <c r="AG3" s="194">
        <v>46317</v>
      </c>
      <c r="AH3" s="194">
        <v>46318</v>
      </c>
      <c r="AI3" s="194">
        <v>46321</v>
      </c>
      <c r="AJ3" s="194">
        <v>46322</v>
      </c>
      <c r="AK3" s="194">
        <v>46323</v>
      </c>
      <c r="AL3" s="194">
        <v>46324</v>
      </c>
      <c r="AM3" s="194">
        <v>46325</v>
      </c>
      <c r="AN3" s="194">
        <v>46328</v>
      </c>
      <c r="AO3" s="194">
        <v>46329</v>
      </c>
      <c r="AP3" s="194">
        <v>46330</v>
      </c>
      <c r="AQ3" s="194">
        <v>46331</v>
      </c>
      <c r="AR3" s="194">
        <v>46332</v>
      </c>
      <c r="AS3" s="194">
        <v>46335</v>
      </c>
      <c r="AT3" s="194">
        <v>46336</v>
      </c>
      <c r="AU3" s="194">
        <v>46337</v>
      </c>
      <c r="AV3" s="194">
        <v>46338</v>
      </c>
      <c r="AW3" s="194">
        <v>46339</v>
      </c>
      <c r="AX3" s="194">
        <v>46342</v>
      </c>
      <c r="AY3" s="194">
        <v>46343</v>
      </c>
      <c r="AZ3" s="194">
        <v>46344</v>
      </c>
      <c r="BA3" s="194">
        <v>46345</v>
      </c>
      <c r="BB3" s="194">
        <v>46346</v>
      </c>
      <c r="BC3" s="194">
        <v>46349</v>
      </c>
      <c r="BD3" s="194">
        <v>46350</v>
      </c>
      <c r="BE3" s="194">
        <v>46351</v>
      </c>
      <c r="BF3" s="194">
        <v>46352</v>
      </c>
      <c r="BG3" s="194">
        <v>46353</v>
      </c>
      <c r="BH3" s="194">
        <v>46356</v>
      </c>
      <c r="BI3" s="194">
        <v>46357</v>
      </c>
      <c r="BJ3" s="194">
        <v>46358</v>
      </c>
      <c r="BK3" s="194">
        <v>46359</v>
      </c>
      <c r="BL3" s="194">
        <v>46360</v>
      </c>
      <c r="BM3" s="194">
        <v>46363</v>
      </c>
      <c r="BN3" s="194">
        <v>46364</v>
      </c>
      <c r="BO3" s="194">
        <v>46365</v>
      </c>
      <c r="BP3" s="194">
        <v>46366</v>
      </c>
      <c r="BQ3" s="194">
        <v>46367</v>
      </c>
      <c r="BR3" s="194">
        <v>46370</v>
      </c>
      <c r="BS3" s="194">
        <v>46371</v>
      </c>
      <c r="BT3" s="194">
        <v>46372</v>
      </c>
      <c r="BU3" s="194">
        <v>46373</v>
      </c>
      <c r="BV3" s="194">
        <v>46374</v>
      </c>
      <c r="BW3" s="194">
        <v>46377</v>
      </c>
      <c r="BX3" s="194">
        <v>46378</v>
      </c>
      <c r="BY3" s="194">
        <v>46379</v>
      </c>
      <c r="BZ3" s="194">
        <v>46380</v>
      </c>
      <c r="CA3" s="194">
        <v>46381</v>
      </c>
      <c r="CB3" s="194">
        <v>46384</v>
      </c>
      <c r="CC3" s="194">
        <v>46385</v>
      </c>
      <c r="CD3" s="194">
        <v>46386</v>
      </c>
      <c r="CE3" s="194">
        <v>46387</v>
      </c>
      <c r="CF3" s="194">
        <v>46023</v>
      </c>
    </row>
    <row r="4" spans="2:84">
      <c r="B4" s="196">
        <v>1</v>
      </c>
      <c r="C4" s="200" t="s">
        <v>180</v>
      </c>
      <c r="D4" s="196" t="s">
        <v>194</v>
      </c>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6"/>
      <c r="AV4" s="196"/>
      <c r="AW4" s="196"/>
      <c r="AX4" s="196"/>
      <c r="AY4" s="196"/>
      <c r="AZ4" s="196"/>
      <c r="BA4" s="196"/>
      <c r="BB4" s="196"/>
      <c r="BC4" s="196"/>
      <c r="BD4" s="196"/>
      <c r="BE4" s="196"/>
      <c r="BF4" s="196"/>
      <c r="BG4" s="196"/>
      <c r="BH4" s="196"/>
      <c r="BI4" s="196"/>
      <c r="BJ4" s="196"/>
      <c r="BK4" s="196"/>
      <c r="BL4" s="196"/>
      <c r="BM4" s="196"/>
      <c r="BN4" s="196"/>
      <c r="BO4" s="196"/>
      <c r="BP4" s="196"/>
      <c r="BQ4" s="196"/>
      <c r="BR4" s="196"/>
      <c r="BS4" s="196"/>
      <c r="BT4" s="196"/>
      <c r="BU4" s="196"/>
      <c r="BV4" s="196"/>
      <c r="BW4" s="196"/>
      <c r="BX4" s="196"/>
      <c r="BY4" s="196"/>
      <c r="BZ4" s="196"/>
      <c r="CA4" s="197" t="s">
        <v>68</v>
      </c>
      <c r="CB4" s="197" t="s">
        <v>68</v>
      </c>
      <c r="CC4" s="196"/>
      <c r="CD4" s="196"/>
      <c r="CE4" s="196"/>
      <c r="CF4" s="197" t="s">
        <v>68</v>
      </c>
    </row>
    <row r="5" spans="2:84">
      <c r="B5" s="196">
        <v>2</v>
      </c>
      <c r="C5" s="200" t="s">
        <v>182</v>
      </c>
      <c r="D5" s="196" t="s">
        <v>194</v>
      </c>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8" t="s">
        <v>43</v>
      </c>
      <c r="AR5" s="198" t="s">
        <v>43</v>
      </c>
      <c r="AS5" s="196"/>
      <c r="AT5" s="196"/>
      <c r="AU5" s="196"/>
      <c r="AV5" s="196"/>
      <c r="AW5" s="196"/>
      <c r="AX5" s="198" t="s">
        <v>43</v>
      </c>
      <c r="AY5" s="198" t="s">
        <v>43</v>
      </c>
      <c r="AZ5" s="198" t="s">
        <v>43</v>
      </c>
      <c r="BA5" s="198" t="s">
        <v>43</v>
      </c>
      <c r="BB5" s="198" t="s">
        <v>43</v>
      </c>
      <c r="BC5" s="198" t="s">
        <v>43</v>
      </c>
      <c r="BD5" s="198" t="s">
        <v>43</v>
      </c>
      <c r="BE5" s="198" t="s">
        <v>43</v>
      </c>
      <c r="BF5" s="198" t="s">
        <v>43</v>
      </c>
      <c r="BG5" s="198" t="s">
        <v>43</v>
      </c>
      <c r="BH5" s="196"/>
      <c r="BI5" s="196"/>
      <c r="BJ5" s="196"/>
      <c r="BK5" s="196"/>
      <c r="BL5" s="196"/>
      <c r="BM5" s="196"/>
      <c r="BN5" s="196"/>
      <c r="BO5" s="196"/>
      <c r="BP5" s="196"/>
      <c r="BQ5" s="196"/>
      <c r="BR5" s="196"/>
      <c r="BS5" s="196"/>
      <c r="BT5" s="196"/>
      <c r="BU5" s="196"/>
      <c r="BV5" s="196"/>
      <c r="BW5" s="196"/>
      <c r="BX5" s="196"/>
      <c r="BY5" s="196"/>
      <c r="BZ5" s="196"/>
      <c r="CA5" s="197" t="s">
        <v>68</v>
      </c>
      <c r="CB5" s="197" t="s">
        <v>68</v>
      </c>
      <c r="CC5" s="196"/>
      <c r="CD5" s="196"/>
      <c r="CE5" s="196"/>
      <c r="CF5" s="197" t="s">
        <v>68</v>
      </c>
    </row>
    <row r="6" spans="2:84">
      <c r="B6" s="196">
        <v>3</v>
      </c>
      <c r="C6" s="200" t="s">
        <v>195</v>
      </c>
      <c r="D6" s="196" t="s">
        <v>194</v>
      </c>
      <c r="E6" s="196"/>
      <c r="F6" s="196"/>
      <c r="G6" s="196"/>
      <c r="H6" s="196"/>
      <c r="I6" s="196"/>
      <c r="J6" s="196"/>
      <c r="K6" s="196"/>
      <c r="L6" s="196"/>
      <c r="M6" s="196"/>
      <c r="N6" s="196"/>
      <c r="O6" s="196"/>
      <c r="P6" s="196"/>
      <c r="Q6" s="196"/>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6"/>
      <c r="BK6" s="196"/>
      <c r="BL6" s="196"/>
      <c r="BM6" s="196"/>
      <c r="BN6" s="196"/>
      <c r="BO6" s="196"/>
      <c r="BP6" s="196"/>
      <c r="BQ6" s="196"/>
      <c r="BR6" s="196"/>
      <c r="BS6" s="196"/>
      <c r="BT6" s="196"/>
      <c r="BU6" s="196"/>
      <c r="BV6" s="196"/>
      <c r="BW6" s="196"/>
      <c r="BX6" s="196"/>
      <c r="BY6" s="196"/>
      <c r="BZ6" s="196"/>
      <c r="CA6" s="197" t="s">
        <v>68</v>
      </c>
      <c r="CB6" s="197" t="s">
        <v>68</v>
      </c>
      <c r="CC6" s="196"/>
      <c r="CD6" s="196"/>
      <c r="CE6" s="196"/>
      <c r="CF6" s="197" t="s">
        <v>68</v>
      </c>
    </row>
    <row r="7" spans="2:84">
      <c r="B7" s="196">
        <v>4</v>
      </c>
      <c r="C7" s="200" t="s">
        <v>55</v>
      </c>
      <c r="D7" s="196" t="s">
        <v>194</v>
      </c>
      <c r="E7" s="196"/>
      <c r="F7" s="196"/>
      <c r="G7" s="196"/>
      <c r="H7" s="196"/>
      <c r="I7" s="196"/>
      <c r="J7" s="196"/>
      <c r="K7" s="196"/>
      <c r="L7" s="196"/>
      <c r="M7" s="196"/>
      <c r="N7" s="196"/>
      <c r="O7" s="196"/>
      <c r="P7" s="196"/>
      <c r="Q7" s="196"/>
      <c r="R7" s="196"/>
      <c r="S7" s="196"/>
      <c r="T7" s="196"/>
      <c r="U7" s="196"/>
      <c r="V7" s="196"/>
      <c r="W7" s="196"/>
      <c r="X7" s="196"/>
      <c r="Y7" s="196"/>
      <c r="Z7" s="196"/>
      <c r="AA7" s="196"/>
      <c r="AB7" s="196"/>
      <c r="AC7" s="196"/>
      <c r="AD7" s="196"/>
      <c r="AE7" s="196"/>
      <c r="AF7" s="196"/>
      <c r="AG7" s="196"/>
      <c r="AH7" s="196"/>
      <c r="AI7" s="196"/>
      <c r="AJ7" s="196"/>
      <c r="AK7" s="196"/>
      <c r="AL7" s="196"/>
      <c r="AM7" s="196"/>
      <c r="AN7" s="196"/>
      <c r="AO7" s="196"/>
      <c r="AP7" s="196"/>
      <c r="AQ7" s="196"/>
      <c r="AR7" s="196"/>
      <c r="AS7" s="196"/>
      <c r="AT7" s="196"/>
      <c r="AU7" s="196"/>
      <c r="AV7" s="196"/>
      <c r="AW7" s="196"/>
      <c r="AX7" s="196"/>
      <c r="AY7" s="196"/>
      <c r="AZ7" s="196"/>
      <c r="BA7" s="196"/>
      <c r="BB7" s="196"/>
      <c r="BC7" s="196"/>
      <c r="BD7" s="196"/>
      <c r="BE7" s="196"/>
      <c r="BF7" s="196"/>
      <c r="BG7" s="196"/>
      <c r="BH7" s="196"/>
      <c r="BI7" s="196"/>
      <c r="BJ7" s="196"/>
      <c r="BK7" s="196"/>
      <c r="BL7" s="196"/>
      <c r="BM7" s="196"/>
      <c r="BN7" s="196"/>
      <c r="BO7" s="196"/>
      <c r="BP7" s="196"/>
      <c r="BQ7" s="196"/>
      <c r="BR7" s="196"/>
      <c r="BS7" s="196"/>
      <c r="BT7" s="196"/>
      <c r="BU7" s="196"/>
      <c r="BV7" s="196"/>
      <c r="BW7" s="196"/>
      <c r="BX7" s="196"/>
      <c r="BY7" s="196"/>
      <c r="BZ7" s="196"/>
      <c r="CA7" s="197" t="s">
        <v>68</v>
      </c>
      <c r="CB7" s="197" t="s">
        <v>68</v>
      </c>
      <c r="CC7" s="196"/>
      <c r="CD7" s="196"/>
      <c r="CE7" s="196"/>
      <c r="CF7" s="197" t="s">
        <v>68</v>
      </c>
    </row>
    <row r="8" spans="2:84">
      <c r="B8" s="196">
        <v>5</v>
      </c>
      <c r="C8" s="200" t="s">
        <v>70</v>
      </c>
      <c r="D8" s="196" t="s">
        <v>194</v>
      </c>
      <c r="E8" s="196"/>
      <c r="F8" s="196"/>
      <c r="G8" s="196"/>
      <c r="H8" s="196"/>
      <c r="I8" s="196"/>
      <c r="J8" s="196"/>
      <c r="K8" s="196"/>
      <c r="L8" s="196"/>
      <c r="M8" s="196"/>
      <c r="N8" s="196"/>
      <c r="O8" s="196"/>
      <c r="P8" s="196"/>
      <c r="Q8" s="196"/>
      <c r="R8" s="196"/>
      <c r="S8" s="196"/>
      <c r="T8" s="196"/>
      <c r="U8" s="196"/>
      <c r="V8" s="196"/>
      <c r="W8" s="196"/>
      <c r="X8" s="196"/>
      <c r="Y8" s="196"/>
      <c r="Z8" s="196"/>
      <c r="AA8" s="196"/>
      <c r="AB8" s="196"/>
      <c r="AC8" s="196"/>
      <c r="AD8" s="196"/>
      <c r="AE8" s="196"/>
      <c r="AF8" s="196"/>
      <c r="AG8" s="196"/>
      <c r="AH8" s="196"/>
      <c r="AI8" s="196"/>
      <c r="AJ8" s="196"/>
      <c r="AK8" s="196"/>
      <c r="AL8" s="196"/>
      <c r="AM8" s="196"/>
      <c r="AN8" s="196"/>
      <c r="AO8" s="196"/>
      <c r="AP8" s="196"/>
      <c r="AQ8" s="196"/>
      <c r="AR8" s="196"/>
      <c r="AS8" s="196"/>
      <c r="AT8" s="196"/>
      <c r="AU8" s="196"/>
      <c r="AV8" s="196"/>
      <c r="AW8" s="196"/>
      <c r="AX8" s="196"/>
      <c r="AY8" s="196"/>
      <c r="AZ8" s="196"/>
      <c r="BA8" s="196"/>
      <c r="BB8" s="196"/>
      <c r="BC8" s="196"/>
      <c r="BD8" s="196"/>
      <c r="BE8" s="196"/>
      <c r="BF8" s="196"/>
      <c r="BG8" s="196"/>
      <c r="BH8" s="196"/>
      <c r="BI8" s="196"/>
      <c r="BJ8" s="196"/>
      <c r="BK8" s="196"/>
      <c r="BL8" s="196"/>
      <c r="BM8" s="196"/>
      <c r="BN8" s="196"/>
      <c r="BO8" s="196"/>
      <c r="BP8" s="196"/>
      <c r="BQ8" s="196"/>
      <c r="BR8" s="196"/>
      <c r="BS8" s="196"/>
      <c r="BT8" s="196"/>
      <c r="BU8" s="196"/>
      <c r="BV8" s="196"/>
      <c r="BW8" s="196"/>
      <c r="BX8" s="196"/>
      <c r="BY8" s="196"/>
      <c r="BZ8" s="196"/>
      <c r="CA8" s="197" t="s">
        <v>68</v>
      </c>
      <c r="CB8" s="197" t="s">
        <v>68</v>
      </c>
      <c r="CC8" s="196"/>
      <c r="CD8" s="196"/>
      <c r="CE8" s="196"/>
      <c r="CF8" s="197" t="s">
        <v>68</v>
      </c>
    </row>
    <row r="9" spans="2:84">
      <c r="B9" s="196">
        <v>6</v>
      </c>
      <c r="C9" s="200" t="s">
        <v>81</v>
      </c>
      <c r="D9" s="196" t="s">
        <v>194</v>
      </c>
      <c r="E9" s="196"/>
      <c r="F9" s="196"/>
      <c r="G9" s="196"/>
      <c r="H9" s="196"/>
      <c r="I9" s="196"/>
      <c r="J9" s="196"/>
      <c r="K9" s="196"/>
      <c r="L9" s="196"/>
      <c r="M9" s="196"/>
      <c r="N9" s="196"/>
      <c r="O9" s="196"/>
      <c r="P9" s="196"/>
      <c r="Q9" s="196"/>
      <c r="R9" s="196"/>
      <c r="S9" s="196"/>
      <c r="T9" s="196"/>
      <c r="U9" s="196"/>
      <c r="V9" s="196"/>
      <c r="W9" s="196"/>
      <c r="X9" s="196"/>
      <c r="Y9" s="196"/>
      <c r="Z9" s="196"/>
      <c r="AA9" s="196"/>
      <c r="AB9" s="196"/>
      <c r="AC9" s="196"/>
      <c r="AD9" s="196"/>
      <c r="AE9" s="196"/>
      <c r="AF9" s="196"/>
      <c r="AG9" s="196"/>
      <c r="AH9" s="196"/>
      <c r="AI9" s="196"/>
      <c r="AJ9" s="196"/>
      <c r="AK9" s="196"/>
      <c r="AL9" s="196"/>
      <c r="AM9" s="196"/>
      <c r="AN9" s="196"/>
      <c r="AO9" s="196"/>
      <c r="AP9" s="196"/>
      <c r="AQ9" s="196"/>
      <c r="AR9" s="196"/>
      <c r="AS9" s="196"/>
      <c r="AT9" s="196"/>
      <c r="AU9" s="196"/>
      <c r="AV9" s="196"/>
      <c r="AW9" s="196"/>
      <c r="AX9" s="196"/>
      <c r="AY9" s="196"/>
      <c r="AZ9" s="196"/>
      <c r="BA9" s="196"/>
      <c r="BB9" s="196"/>
      <c r="BC9" s="196"/>
      <c r="BD9" s="196"/>
      <c r="BE9" s="196"/>
      <c r="BF9" s="196"/>
      <c r="BG9" s="196"/>
      <c r="BH9" s="196"/>
      <c r="BI9" s="196"/>
      <c r="BJ9" s="196"/>
      <c r="BK9" s="196"/>
      <c r="BL9" s="196"/>
      <c r="BM9" s="196"/>
      <c r="BN9" s="196"/>
      <c r="BO9" s="196"/>
      <c r="BP9" s="196"/>
      <c r="BQ9" s="196"/>
      <c r="BR9" s="196"/>
      <c r="BS9" s="196"/>
      <c r="BT9" s="196"/>
      <c r="BU9" s="196"/>
      <c r="BV9" s="196"/>
      <c r="BW9" s="196"/>
      <c r="BX9" s="196"/>
      <c r="BY9" s="196"/>
      <c r="BZ9" s="196"/>
      <c r="CA9" s="197" t="s">
        <v>68</v>
      </c>
      <c r="CB9" s="197" t="s">
        <v>68</v>
      </c>
      <c r="CC9" s="196"/>
      <c r="CD9" s="196"/>
      <c r="CE9" s="196"/>
      <c r="CF9" s="197" t="s">
        <v>68</v>
      </c>
    </row>
    <row r="10" spans="2:84">
      <c r="B10" s="196">
        <v>7</v>
      </c>
      <c r="C10" s="200" t="s">
        <v>49</v>
      </c>
      <c r="D10" s="196" t="s">
        <v>194</v>
      </c>
      <c r="E10" s="196"/>
      <c r="F10" s="196"/>
      <c r="G10" s="196"/>
      <c r="H10" s="196"/>
      <c r="I10" s="196"/>
      <c r="J10" s="196"/>
      <c r="K10" s="196"/>
      <c r="L10" s="196"/>
      <c r="M10" s="196"/>
      <c r="N10" s="196"/>
      <c r="O10" s="196"/>
      <c r="P10" s="196"/>
      <c r="Q10" s="196"/>
      <c r="R10" s="196"/>
      <c r="S10" s="196"/>
      <c r="T10" s="196"/>
      <c r="U10" s="196"/>
      <c r="V10" s="196"/>
      <c r="W10" s="196"/>
      <c r="X10" s="196"/>
      <c r="Y10" s="196"/>
      <c r="Z10" s="196"/>
      <c r="AA10" s="196"/>
      <c r="AB10" s="196"/>
      <c r="AC10" s="196"/>
      <c r="AD10" s="196"/>
      <c r="AE10" s="196"/>
      <c r="AF10" s="196"/>
      <c r="AG10" s="196"/>
      <c r="AH10" s="196"/>
      <c r="AI10" s="196"/>
      <c r="AJ10" s="196"/>
      <c r="AK10" s="196"/>
      <c r="AL10" s="196"/>
      <c r="AM10" s="196"/>
      <c r="AN10" s="196"/>
      <c r="AO10" s="196"/>
      <c r="AP10" s="196"/>
      <c r="AQ10" s="196"/>
      <c r="AR10" s="196"/>
      <c r="AS10" s="196"/>
      <c r="AT10" s="196"/>
      <c r="AU10" s="196"/>
      <c r="AV10" s="196"/>
      <c r="AW10" s="196"/>
      <c r="AX10" s="196"/>
      <c r="AY10" s="196"/>
      <c r="AZ10" s="196"/>
      <c r="BA10" s="196"/>
      <c r="BB10" s="196"/>
      <c r="BC10" s="196"/>
      <c r="BD10" s="196"/>
      <c r="BE10" s="196"/>
      <c r="BF10" s="196"/>
      <c r="BG10" s="196"/>
      <c r="BH10" s="196"/>
      <c r="BI10" s="196"/>
      <c r="BJ10" s="196"/>
      <c r="BK10" s="196"/>
      <c r="BL10" s="196"/>
      <c r="BM10" s="196"/>
      <c r="BN10" s="196"/>
      <c r="BO10" s="196"/>
      <c r="BP10" s="196"/>
      <c r="BQ10" s="196"/>
      <c r="BR10" s="196"/>
      <c r="BS10" s="196"/>
      <c r="BT10" s="196"/>
      <c r="BU10" s="196"/>
      <c r="BV10" s="196"/>
      <c r="BW10" s="196"/>
      <c r="BX10" s="196"/>
      <c r="BY10" s="196"/>
      <c r="BZ10" s="196"/>
      <c r="CA10" s="197" t="s">
        <v>68</v>
      </c>
      <c r="CB10" s="197" t="s">
        <v>68</v>
      </c>
      <c r="CC10" s="196"/>
      <c r="CD10" s="196"/>
      <c r="CE10" s="196"/>
      <c r="CF10" s="197" t="s">
        <v>68</v>
      </c>
    </row>
    <row r="11" spans="2:84">
      <c r="B11" s="196">
        <v>8</v>
      </c>
      <c r="C11" s="200" t="s">
        <v>96</v>
      </c>
      <c r="D11" s="196" t="s">
        <v>194</v>
      </c>
      <c r="E11" s="196"/>
      <c r="F11" s="196"/>
      <c r="G11" s="196"/>
      <c r="H11" s="196"/>
      <c r="I11" s="196"/>
      <c r="J11" s="196"/>
      <c r="K11" s="196"/>
      <c r="L11" s="196"/>
      <c r="M11" s="196"/>
      <c r="N11" s="196"/>
      <c r="O11" s="196"/>
      <c r="P11" s="196"/>
      <c r="Q11" s="196"/>
      <c r="R11" s="196"/>
      <c r="S11" s="196"/>
      <c r="T11" s="196"/>
      <c r="U11" s="196"/>
      <c r="V11" s="196"/>
      <c r="W11" s="196"/>
      <c r="X11" s="196"/>
      <c r="Y11" s="196"/>
      <c r="Z11" s="196"/>
      <c r="AA11" s="196"/>
      <c r="AB11" s="196"/>
      <c r="AC11" s="196"/>
      <c r="AD11" s="196"/>
      <c r="AE11" s="196"/>
      <c r="AF11" s="196"/>
      <c r="AG11" s="196"/>
      <c r="AH11" s="196"/>
      <c r="AI11" s="196"/>
      <c r="AJ11" s="196"/>
      <c r="AK11" s="196"/>
      <c r="AL11" s="196"/>
      <c r="AM11" s="196"/>
      <c r="AN11" s="196"/>
      <c r="AO11" s="196"/>
      <c r="AP11" s="196"/>
      <c r="AQ11" s="196"/>
      <c r="AR11" s="196"/>
      <c r="AS11" s="196"/>
      <c r="AT11" s="196"/>
      <c r="AU11" s="196"/>
      <c r="AV11" s="196"/>
      <c r="AW11" s="196"/>
      <c r="AX11" s="196"/>
      <c r="AY11" s="196"/>
      <c r="AZ11" s="196"/>
      <c r="BA11" s="196"/>
      <c r="BB11" s="196"/>
      <c r="BC11" s="196"/>
      <c r="BD11" s="196"/>
      <c r="BE11" s="196"/>
      <c r="BF11" s="196"/>
      <c r="BG11" s="196"/>
      <c r="BH11" s="196"/>
      <c r="BI11" s="196"/>
      <c r="BJ11" s="196"/>
      <c r="BK11" s="196"/>
      <c r="BL11" s="196"/>
      <c r="BM11" s="196"/>
      <c r="BN11" s="196"/>
      <c r="BO11" s="196"/>
      <c r="BP11" s="196"/>
      <c r="BQ11" s="196"/>
      <c r="BR11" s="196"/>
      <c r="BS11" s="196"/>
      <c r="BT11" s="196"/>
      <c r="BU11" s="196"/>
      <c r="BV11" s="196"/>
      <c r="BW11" s="196"/>
      <c r="BX11" s="196"/>
      <c r="BY11" s="196"/>
      <c r="BZ11" s="196"/>
      <c r="CA11" s="197" t="s">
        <v>68</v>
      </c>
      <c r="CB11" s="197" t="s">
        <v>68</v>
      </c>
      <c r="CC11" s="196"/>
      <c r="CD11" s="196"/>
      <c r="CE11" s="196"/>
      <c r="CF11" s="197" t="s">
        <v>68</v>
      </c>
    </row>
    <row r="12" spans="2:84">
      <c r="B12" s="196">
        <v>9</v>
      </c>
      <c r="C12" s="200" t="s">
        <v>71</v>
      </c>
      <c r="D12" s="196" t="s">
        <v>194</v>
      </c>
      <c r="E12" s="196"/>
      <c r="F12" s="196"/>
      <c r="G12" s="196"/>
      <c r="H12" s="196"/>
      <c r="I12" s="196"/>
      <c r="J12" s="196"/>
      <c r="K12" s="196"/>
      <c r="L12" s="196"/>
      <c r="M12" s="196"/>
      <c r="N12" s="196"/>
      <c r="O12" s="196"/>
      <c r="P12" s="196"/>
      <c r="Q12" s="196"/>
      <c r="R12" s="196"/>
      <c r="S12" s="196"/>
      <c r="T12" s="196"/>
      <c r="U12" s="196"/>
      <c r="V12" s="196"/>
      <c r="W12" s="196"/>
      <c r="X12" s="196"/>
      <c r="Y12" s="196"/>
      <c r="Z12" s="196"/>
      <c r="AA12" s="196"/>
      <c r="AB12" s="196"/>
      <c r="AC12" s="196"/>
      <c r="AD12" s="196"/>
      <c r="AE12" s="196"/>
      <c r="AF12" s="196"/>
      <c r="AG12" s="196"/>
      <c r="AH12" s="196"/>
      <c r="AI12" s="196"/>
      <c r="AJ12" s="196"/>
      <c r="AK12" s="196"/>
      <c r="AL12" s="196"/>
      <c r="AM12" s="196"/>
      <c r="AN12" s="196"/>
      <c r="AO12" s="196"/>
      <c r="AP12" s="196"/>
      <c r="AQ12" s="196"/>
      <c r="AR12" s="196"/>
      <c r="AS12" s="196"/>
      <c r="AT12" s="196"/>
      <c r="AU12" s="196"/>
      <c r="AV12" s="196"/>
      <c r="AW12" s="196"/>
      <c r="AX12" s="196"/>
      <c r="AY12" s="196"/>
      <c r="AZ12" s="196"/>
      <c r="BA12" s="196"/>
      <c r="BB12" s="196"/>
      <c r="BC12" s="196"/>
      <c r="BD12" s="196"/>
      <c r="BE12" s="196"/>
      <c r="BF12" s="196"/>
      <c r="BG12" s="196"/>
      <c r="BH12" s="196"/>
      <c r="BI12" s="196"/>
      <c r="BJ12" s="196"/>
      <c r="BK12" s="196"/>
      <c r="BL12" s="196"/>
      <c r="BM12" s="196"/>
      <c r="BN12" s="196"/>
      <c r="BO12" s="196"/>
      <c r="BP12" s="196"/>
      <c r="BQ12" s="196"/>
      <c r="BR12" s="196"/>
      <c r="BS12" s="196"/>
      <c r="BT12" s="196"/>
      <c r="BU12" s="196"/>
      <c r="BV12" s="196"/>
      <c r="BW12" s="196"/>
      <c r="BX12" s="196"/>
      <c r="BY12" s="196"/>
      <c r="BZ12" s="196"/>
      <c r="CA12" s="197" t="s">
        <v>68</v>
      </c>
      <c r="CB12" s="197" t="s">
        <v>68</v>
      </c>
      <c r="CC12" s="196"/>
      <c r="CD12" s="196"/>
      <c r="CE12" s="196"/>
      <c r="CF12" s="197" t="s">
        <v>68</v>
      </c>
    </row>
    <row r="13" spans="2:84">
      <c r="B13" s="196">
        <v>10</v>
      </c>
      <c r="C13" s="200" t="s">
        <v>190</v>
      </c>
      <c r="D13" s="196" t="s">
        <v>194</v>
      </c>
      <c r="E13" s="196"/>
      <c r="F13" s="196"/>
      <c r="G13" s="196"/>
      <c r="H13" s="196"/>
      <c r="I13" s="196"/>
      <c r="J13" s="196"/>
      <c r="K13" s="196"/>
      <c r="L13" s="196"/>
      <c r="M13" s="196"/>
      <c r="N13" s="196"/>
      <c r="O13" s="196"/>
      <c r="P13" s="196"/>
      <c r="Q13" s="196"/>
      <c r="R13" s="196"/>
      <c r="S13" s="196"/>
      <c r="T13" s="196"/>
      <c r="U13" s="196"/>
      <c r="V13" s="196"/>
      <c r="W13" s="196"/>
      <c r="X13" s="196"/>
      <c r="Y13" s="196"/>
      <c r="Z13" s="196"/>
      <c r="AA13" s="196"/>
      <c r="AB13" s="196"/>
      <c r="AC13" s="196"/>
      <c r="AD13" s="196"/>
      <c r="AE13" s="196"/>
      <c r="AF13" s="196"/>
      <c r="AG13" s="196"/>
      <c r="AH13" s="196"/>
      <c r="AI13" s="196"/>
      <c r="AJ13" s="196"/>
      <c r="AK13" s="196"/>
      <c r="AL13" s="196"/>
      <c r="AM13" s="196"/>
      <c r="AN13" s="196"/>
      <c r="AO13" s="196"/>
      <c r="AP13" s="196"/>
      <c r="AQ13" s="196"/>
      <c r="AR13" s="196"/>
      <c r="AS13" s="196"/>
      <c r="AT13" s="196"/>
      <c r="AU13" s="196"/>
      <c r="AV13" s="196"/>
      <c r="AW13" s="196"/>
      <c r="AX13" s="196"/>
      <c r="AY13" s="196"/>
      <c r="AZ13" s="196"/>
      <c r="BA13" s="196"/>
      <c r="BB13" s="196"/>
      <c r="BC13" s="196"/>
      <c r="BD13" s="196"/>
      <c r="BE13" s="196"/>
      <c r="BF13" s="196"/>
      <c r="BG13" s="196"/>
      <c r="BH13" s="196"/>
      <c r="BI13" s="196"/>
      <c r="BJ13" s="196"/>
      <c r="BK13" s="196"/>
      <c r="BL13" s="196"/>
      <c r="BM13" s="196"/>
      <c r="BN13" s="196"/>
      <c r="BO13" s="196"/>
      <c r="BP13" s="196"/>
      <c r="BQ13" s="196"/>
      <c r="BR13" s="196"/>
      <c r="BS13" s="196"/>
      <c r="BT13" s="196"/>
      <c r="BU13" s="196"/>
      <c r="BV13" s="196"/>
      <c r="BW13" s="196"/>
      <c r="BX13" s="196"/>
      <c r="BY13" s="196"/>
      <c r="BZ13" s="196"/>
      <c r="CA13" s="197" t="s">
        <v>68</v>
      </c>
      <c r="CB13" s="197" t="s">
        <v>68</v>
      </c>
      <c r="CC13" s="196"/>
      <c r="CD13" s="196"/>
      <c r="CE13" s="196"/>
      <c r="CF13" s="197" t="s">
        <v>68</v>
      </c>
    </row>
    <row r="14" spans="2:84">
      <c r="B14" s="196">
        <v>11</v>
      </c>
      <c r="C14" s="200" t="s">
        <v>196</v>
      </c>
      <c r="D14" s="196" t="s">
        <v>194</v>
      </c>
      <c r="E14" s="196"/>
      <c r="F14" s="196"/>
      <c r="G14" s="196"/>
      <c r="H14" s="196"/>
      <c r="I14" s="196"/>
      <c r="J14" s="196"/>
      <c r="K14" s="196"/>
      <c r="L14" s="196"/>
      <c r="M14" s="196"/>
      <c r="N14" s="196"/>
      <c r="O14" s="196"/>
      <c r="P14" s="196"/>
      <c r="Q14" s="196"/>
      <c r="R14" s="196"/>
      <c r="S14" s="196"/>
      <c r="T14" s="196"/>
      <c r="U14" s="196"/>
      <c r="V14" s="196"/>
      <c r="W14" s="196"/>
      <c r="X14" s="196"/>
      <c r="Y14" s="196"/>
      <c r="Z14" s="196"/>
      <c r="AA14" s="196"/>
      <c r="AB14" s="196"/>
      <c r="AC14" s="196"/>
      <c r="AD14" s="196"/>
      <c r="AE14" s="196"/>
      <c r="AF14" s="196"/>
      <c r="AG14" s="196"/>
      <c r="AH14" s="196"/>
      <c r="AI14" s="196"/>
      <c r="AJ14" s="196"/>
      <c r="AK14" s="196"/>
      <c r="AL14" s="196"/>
      <c r="AM14" s="196"/>
      <c r="AN14" s="196"/>
      <c r="AO14" s="196"/>
      <c r="AP14" s="196"/>
      <c r="AQ14" s="196"/>
      <c r="AR14" s="196"/>
      <c r="AS14" s="196"/>
      <c r="AT14" s="196"/>
      <c r="AU14" s="196"/>
      <c r="AV14" s="196"/>
      <c r="AW14" s="196"/>
      <c r="AX14" s="196"/>
      <c r="AY14" s="196"/>
      <c r="AZ14" s="196"/>
      <c r="BA14" s="196"/>
      <c r="BB14" s="196"/>
      <c r="BC14" s="196"/>
      <c r="BD14" s="196"/>
      <c r="BE14" s="196"/>
      <c r="BF14" s="196"/>
      <c r="BG14" s="196"/>
      <c r="BH14" s="196"/>
      <c r="BI14" s="196"/>
      <c r="BJ14" s="196"/>
      <c r="BK14" s="196"/>
      <c r="BL14" s="196"/>
      <c r="BM14" s="196"/>
      <c r="BN14" s="196"/>
      <c r="BO14" s="196"/>
      <c r="BP14" s="196"/>
      <c r="BQ14" s="196"/>
      <c r="BR14" s="196"/>
      <c r="BS14" s="196"/>
      <c r="BT14" s="196"/>
      <c r="BU14" s="196"/>
      <c r="BV14" s="196"/>
      <c r="BW14" s="196"/>
      <c r="BX14" s="196"/>
      <c r="BY14" s="196"/>
      <c r="BZ14" s="196"/>
      <c r="CA14" s="197" t="s">
        <v>68</v>
      </c>
      <c r="CB14" s="197" t="s">
        <v>68</v>
      </c>
      <c r="CC14" s="196"/>
      <c r="CD14" s="196"/>
      <c r="CE14" s="196"/>
      <c r="CF14" s="197" t="s">
        <v>68</v>
      </c>
    </row>
    <row r="15" spans="2:84">
      <c r="B15" s="196">
        <v>12</v>
      </c>
      <c r="C15" s="200" t="s">
        <v>184</v>
      </c>
      <c r="D15" s="196" t="s">
        <v>197</v>
      </c>
      <c r="E15" s="196"/>
      <c r="F15" s="196"/>
      <c r="G15" s="196"/>
      <c r="H15" s="196"/>
      <c r="I15" s="196"/>
      <c r="J15" s="196"/>
      <c r="K15" s="196"/>
      <c r="L15" s="196"/>
      <c r="M15" s="196"/>
      <c r="N15" s="196"/>
      <c r="O15" s="196"/>
      <c r="P15" s="196"/>
      <c r="Q15" s="196"/>
      <c r="R15" s="196"/>
      <c r="S15" s="197" t="s">
        <v>68</v>
      </c>
      <c r="T15" s="196"/>
      <c r="U15" s="196"/>
      <c r="V15" s="196"/>
      <c r="W15" s="196"/>
      <c r="X15" s="196"/>
      <c r="Y15" s="196"/>
      <c r="Z15" s="196"/>
      <c r="AA15" s="196"/>
      <c r="AB15" s="196"/>
      <c r="AC15" s="196"/>
      <c r="AD15" s="196"/>
      <c r="AE15" s="197" t="s">
        <v>68</v>
      </c>
      <c r="AF15" s="196"/>
      <c r="AG15" s="196"/>
      <c r="AH15" s="196"/>
      <c r="AI15" s="196"/>
      <c r="AJ15" s="196"/>
      <c r="AK15" s="196"/>
      <c r="AL15" s="196"/>
      <c r="AM15" s="196"/>
      <c r="AN15" s="196"/>
      <c r="AO15" s="196"/>
      <c r="AP15" s="196"/>
      <c r="AQ15" s="196"/>
      <c r="AR15" s="196"/>
      <c r="AS15" s="196"/>
      <c r="AT15" s="196"/>
      <c r="AU15" s="196"/>
      <c r="AV15" s="196"/>
      <c r="AW15" s="196"/>
      <c r="AX15" s="196"/>
      <c r="AY15" s="196"/>
      <c r="AZ15" s="196"/>
      <c r="BA15" s="196"/>
      <c r="BB15" s="196"/>
      <c r="BC15" s="196"/>
      <c r="BD15" s="196"/>
      <c r="BE15" s="196"/>
      <c r="BF15" s="196"/>
      <c r="BG15" s="196"/>
      <c r="BH15" s="196"/>
      <c r="BI15" s="196"/>
      <c r="BJ15" s="196"/>
      <c r="BK15" s="196"/>
      <c r="BL15" s="196"/>
      <c r="BM15" s="196"/>
      <c r="BN15" s="196"/>
      <c r="BO15" s="196"/>
      <c r="BP15" s="196"/>
      <c r="BQ15" s="196"/>
      <c r="BR15" s="196"/>
      <c r="BS15" s="196"/>
      <c r="BT15" s="196"/>
      <c r="BU15" s="196"/>
      <c r="BV15" s="196"/>
      <c r="BW15" s="196"/>
      <c r="BX15" s="196"/>
      <c r="BY15" s="196"/>
      <c r="BZ15" s="196"/>
      <c r="CA15" s="197" t="s">
        <v>68</v>
      </c>
      <c r="CB15" s="196"/>
      <c r="CC15" s="196"/>
      <c r="CD15" s="196"/>
      <c r="CE15" s="196"/>
      <c r="CF15" s="197" t="s">
        <v>68</v>
      </c>
    </row>
    <row r="16" spans="2:84">
      <c r="B16" s="196">
        <v>13</v>
      </c>
      <c r="C16" s="200" t="s">
        <v>88</v>
      </c>
      <c r="D16" s="196" t="s">
        <v>197</v>
      </c>
      <c r="E16" s="196"/>
      <c r="F16" s="196"/>
      <c r="G16" s="196"/>
      <c r="H16" s="196"/>
      <c r="I16" s="198" t="s">
        <v>43</v>
      </c>
      <c r="J16" s="198" t="s">
        <v>43</v>
      </c>
      <c r="K16" s="198" t="s">
        <v>43</v>
      </c>
      <c r="L16" s="198" t="s">
        <v>43</v>
      </c>
      <c r="M16" s="198" t="s">
        <v>43</v>
      </c>
      <c r="N16" s="196"/>
      <c r="O16" s="196"/>
      <c r="P16" s="196"/>
      <c r="Q16" s="196"/>
      <c r="R16" s="196"/>
      <c r="S16" s="197" t="s">
        <v>68</v>
      </c>
      <c r="T16" s="196"/>
      <c r="U16" s="196"/>
      <c r="V16" s="196"/>
      <c r="W16" s="196"/>
      <c r="X16" s="196"/>
      <c r="Y16" s="196"/>
      <c r="Z16" s="196"/>
      <c r="AA16" s="196"/>
      <c r="AB16" s="196"/>
      <c r="AC16" s="196"/>
      <c r="AD16" s="196"/>
      <c r="AE16" s="197" t="s">
        <v>68</v>
      </c>
      <c r="AF16" s="196"/>
      <c r="AG16" s="196"/>
      <c r="AH16" s="196"/>
      <c r="AI16" s="196"/>
      <c r="AJ16" s="196"/>
      <c r="AK16" s="196"/>
      <c r="AL16" s="196"/>
      <c r="AM16" s="196"/>
      <c r="AN16" s="196"/>
      <c r="AO16" s="196"/>
      <c r="AP16" s="196"/>
      <c r="AQ16" s="196"/>
      <c r="AR16" s="196"/>
      <c r="AS16" s="196"/>
      <c r="AT16" s="196"/>
      <c r="AU16" s="196"/>
      <c r="AV16" s="196"/>
      <c r="AW16" s="196"/>
      <c r="AX16" s="196"/>
      <c r="AY16" s="196"/>
      <c r="AZ16" s="196"/>
      <c r="BA16" s="196"/>
      <c r="BB16" s="196"/>
      <c r="BC16" s="196"/>
      <c r="BD16" s="196"/>
      <c r="BE16" s="196"/>
      <c r="BF16" s="196"/>
      <c r="BG16" s="196"/>
      <c r="BH16" s="196"/>
      <c r="BI16" s="196"/>
      <c r="BJ16" s="196"/>
      <c r="BK16" s="196"/>
      <c r="BL16" s="196"/>
      <c r="BM16" s="196"/>
      <c r="BN16" s="196"/>
      <c r="BO16" s="196"/>
      <c r="BP16" s="196"/>
      <c r="BQ16" s="196"/>
      <c r="BR16" s="196"/>
      <c r="BS16" s="196"/>
      <c r="BT16" s="196"/>
      <c r="BU16" s="196"/>
      <c r="BV16" s="196"/>
      <c r="BW16" s="196"/>
      <c r="BX16" s="196"/>
      <c r="BY16" s="196"/>
      <c r="BZ16" s="196"/>
      <c r="CA16" s="197" t="s">
        <v>68</v>
      </c>
      <c r="CB16" s="196"/>
      <c r="CC16" s="196"/>
      <c r="CD16" s="196"/>
      <c r="CE16" s="196"/>
      <c r="CF16" s="197" t="s">
        <v>68</v>
      </c>
    </row>
    <row r="17" spans="2:84">
      <c r="B17" s="196">
        <v>14</v>
      </c>
      <c r="C17" s="200" t="s">
        <v>50</v>
      </c>
      <c r="D17" s="196" t="s">
        <v>197</v>
      </c>
      <c r="E17" s="196"/>
      <c r="F17" s="196"/>
      <c r="G17" s="196"/>
      <c r="H17" s="196"/>
      <c r="I17" s="196"/>
      <c r="J17" s="199" t="s">
        <v>42</v>
      </c>
      <c r="K17" s="196"/>
      <c r="M17" s="196"/>
      <c r="N17" s="196"/>
      <c r="O17" s="196"/>
      <c r="P17" s="196"/>
      <c r="Q17" s="196"/>
      <c r="R17" s="196"/>
      <c r="S17" s="197" t="s">
        <v>68</v>
      </c>
      <c r="T17" s="196"/>
      <c r="U17" s="196"/>
      <c r="V17" s="196"/>
      <c r="W17" s="196"/>
      <c r="X17" s="196"/>
      <c r="Y17" s="196"/>
      <c r="Z17" s="196"/>
      <c r="AA17" s="196"/>
      <c r="AB17" s="196"/>
      <c r="AC17" s="196"/>
      <c r="AD17" s="196"/>
      <c r="AE17" s="197" t="s">
        <v>68</v>
      </c>
      <c r="AF17" s="196"/>
      <c r="AG17" s="196"/>
      <c r="AH17" s="196"/>
      <c r="AI17" s="196"/>
      <c r="AJ17" s="196"/>
      <c r="AK17" s="196"/>
      <c r="AL17" s="196"/>
      <c r="AM17" s="196"/>
      <c r="AN17" s="196"/>
      <c r="AO17" s="196"/>
      <c r="AP17" s="196"/>
      <c r="AQ17" s="196"/>
      <c r="AR17" s="196"/>
      <c r="AS17" s="196"/>
      <c r="AT17" s="196"/>
      <c r="AU17" s="196"/>
      <c r="AV17" s="196"/>
      <c r="AW17" s="196"/>
      <c r="AX17" s="196"/>
      <c r="AY17" s="196"/>
      <c r="AZ17" s="196"/>
      <c r="BA17" s="196"/>
      <c r="BB17" s="196"/>
      <c r="BC17" s="196"/>
      <c r="BD17" s="196"/>
      <c r="BE17" s="196"/>
      <c r="BF17" s="196"/>
      <c r="BG17" s="196"/>
      <c r="BH17" s="196"/>
      <c r="BI17" s="196"/>
      <c r="BJ17" s="196"/>
      <c r="BK17" s="196"/>
      <c r="BL17" s="196"/>
      <c r="BM17" s="196"/>
      <c r="BN17" s="196"/>
      <c r="BO17" s="196"/>
      <c r="BP17" s="196"/>
      <c r="BQ17" s="196"/>
      <c r="BR17" s="196"/>
      <c r="BS17" s="196"/>
      <c r="BT17" s="196"/>
      <c r="BU17" s="196"/>
      <c r="BV17" s="196"/>
      <c r="BW17" s="196"/>
      <c r="BX17" s="196"/>
      <c r="BY17" s="196"/>
      <c r="BZ17" s="196"/>
      <c r="CA17" s="197" t="s">
        <v>68</v>
      </c>
      <c r="CB17" s="196"/>
      <c r="CC17" s="196"/>
      <c r="CD17" s="196"/>
      <c r="CE17" s="196"/>
      <c r="CF17" s="197" t="s">
        <v>68</v>
      </c>
    </row>
    <row r="18" spans="2:84">
      <c r="B18" s="196">
        <v>15</v>
      </c>
      <c r="C18" s="200" t="s">
        <v>61</v>
      </c>
      <c r="D18" s="196" t="s">
        <v>197</v>
      </c>
      <c r="E18" s="196"/>
      <c r="F18" s="196"/>
      <c r="G18" s="196"/>
      <c r="H18" s="196"/>
      <c r="I18" s="196"/>
      <c r="J18" s="196"/>
      <c r="K18" s="196"/>
      <c r="L18" s="199" t="s">
        <v>42</v>
      </c>
      <c r="M18" s="196"/>
      <c r="N18" s="196"/>
      <c r="O18" s="196"/>
      <c r="P18" s="196"/>
      <c r="Q18" s="196"/>
      <c r="R18" s="196"/>
      <c r="S18" s="197" t="s">
        <v>68</v>
      </c>
      <c r="T18" s="196"/>
      <c r="U18" s="196"/>
      <c r="V18" s="196"/>
      <c r="W18" s="196"/>
      <c r="X18" s="196"/>
      <c r="Y18" s="196"/>
      <c r="Z18" s="196"/>
      <c r="AA18" s="196"/>
      <c r="AB18" s="196"/>
      <c r="AC18" s="196"/>
      <c r="AD18" s="196"/>
      <c r="AE18" s="197" t="s">
        <v>68</v>
      </c>
      <c r="AF18" s="196"/>
      <c r="AG18" s="196"/>
      <c r="AH18" s="196"/>
      <c r="AI18" s="196"/>
      <c r="AJ18" s="196"/>
      <c r="AK18" s="196"/>
      <c r="AL18" s="196"/>
      <c r="AM18" s="196"/>
      <c r="AN18" s="196"/>
      <c r="AO18" s="196"/>
      <c r="AP18" s="196"/>
      <c r="AQ18" s="196"/>
      <c r="AR18" s="196"/>
      <c r="AS18" s="196"/>
      <c r="AT18" s="196"/>
      <c r="AU18" s="196"/>
      <c r="AV18" s="196"/>
      <c r="AW18" s="196"/>
      <c r="AX18" s="196"/>
      <c r="AY18" s="196"/>
      <c r="AZ18" s="196"/>
      <c r="BA18" s="196"/>
      <c r="BB18" s="196"/>
      <c r="BC18" s="196"/>
      <c r="BD18" s="196"/>
      <c r="BE18" s="196"/>
      <c r="BF18" s="196"/>
      <c r="BG18" s="196"/>
      <c r="BH18" s="196"/>
      <c r="BI18" s="196"/>
      <c r="BJ18" s="196"/>
      <c r="BK18" s="196"/>
      <c r="BL18" s="196"/>
      <c r="BM18" s="196"/>
      <c r="BN18" s="196"/>
      <c r="BO18" s="196"/>
      <c r="BP18" s="196"/>
      <c r="BQ18" s="196"/>
      <c r="BR18" s="196"/>
      <c r="BS18" s="196"/>
      <c r="BT18" s="196"/>
      <c r="BU18" s="196"/>
      <c r="BV18" s="196"/>
      <c r="BW18" s="196"/>
      <c r="BX18" s="196"/>
      <c r="BY18" s="196"/>
      <c r="BZ18" s="196"/>
      <c r="CA18" s="197" t="s">
        <v>68</v>
      </c>
      <c r="CB18" s="196"/>
      <c r="CC18" s="196"/>
      <c r="CD18" s="196"/>
      <c r="CE18" s="196"/>
      <c r="CF18" s="197" t="s">
        <v>68</v>
      </c>
    </row>
    <row r="19" spans="2:84">
      <c r="B19" s="196">
        <v>16</v>
      </c>
      <c r="C19" s="200" t="s">
        <v>51</v>
      </c>
      <c r="D19" s="196" t="s">
        <v>197</v>
      </c>
      <c r="E19" s="196"/>
      <c r="F19" s="196"/>
      <c r="G19" s="196"/>
      <c r="H19" s="196"/>
      <c r="I19" s="196"/>
      <c r="J19" s="196"/>
      <c r="K19" s="196"/>
      <c r="L19" s="196"/>
      <c r="M19" s="196"/>
      <c r="N19" s="196"/>
      <c r="O19" s="196"/>
      <c r="P19" s="196"/>
      <c r="Q19" s="196"/>
      <c r="R19" s="196"/>
      <c r="S19" s="197" t="s">
        <v>68</v>
      </c>
      <c r="T19" s="196"/>
      <c r="U19" s="196"/>
      <c r="V19" s="196"/>
      <c r="W19" s="196"/>
      <c r="X19" s="196"/>
      <c r="Y19" s="196"/>
      <c r="Z19" s="196"/>
      <c r="AA19" s="196"/>
      <c r="AB19" s="196"/>
      <c r="AC19" s="196"/>
      <c r="AD19" s="196"/>
      <c r="AE19" s="197" t="s">
        <v>68</v>
      </c>
      <c r="AF19" s="196"/>
      <c r="AG19" s="196"/>
      <c r="AH19" s="196"/>
      <c r="AI19" s="196"/>
      <c r="AJ19" s="196"/>
      <c r="AK19" s="196"/>
      <c r="AL19" s="196"/>
      <c r="AM19" s="196"/>
      <c r="AN19" s="196"/>
      <c r="AO19" s="196"/>
      <c r="AP19" s="196"/>
      <c r="AQ19" s="196"/>
      <c r="AR19" s="196"/>
      <c r="AS19" s="196"/>
      <c r="AT19" s="196"/>
      <c r="AU19" s="196"/>
      <c r="AV19" s="196"/>
      <c r="AW19" s="196"/>
      <c r="AX19" s="196"/>
      <c r="AY19" s="196"/>
      <c r="AZ19" s="196"/>
      <c r="BA19" s="196"/>
      <c r="BB19" s="196"/>
      <c r="BC19" s="196"/>
      <c r="BD19" s="196"/>
      <c r="BE19" s="196"/>
      <c r="BF19" s="196"/>
      <c r="BG19" s="196"/>
      <c r="BH19" s="196"/>
      <c r="BI19" s="196"/>
      <c r="BJ19" s="196"/>
      <c r="BK19" s="196"/>
      <c r="BL19" s="196"/>
      <c r="BM19" s="196"/>
      <c r="BN19" s="196"/>
      <c r="BO19" s="196"/>
      <c r="BP19" s="196"/>
      <c r="BQ19" s="196"/>
      <c r="BR19" s="196"/>
      <c r="BS19" s="196"/>
      <c r="BT19" s="196"/>
      <c r="BU19" s="196"/>
      <c r="BV19" s="196"/>
      <c r="BW19" s="196"/>
      <c r="BX19" s="196"/>
      <c r="BY19" s="196"/>
      <c r="BZ19" s="196"/>
      <c r="CA19" s="197" t="s">
        <v>68</v>
      </c>
      <c r="CB19" s="196"/>
      <c r="CC19" s="196"/>
      <c r="CD19" s="196"/>
      <c r="CE19" s="196"/>
      <c r="CF19" s="197" t="s">
        <v>68</v>
      </c>
    </row>
    <row r="22" spans="2:84">
      <c r="B22" s="197" t="s">
        <v>68</v>
      </c>
      <c r="C22" s="200" t="s">
        <v>198</v>
      </c>
    </row>
    <row r="23" spans="2:84">
      <c r="B23" s="198" t="s">
        <v>43</v>
      </c>
      <c r="C23" s="200" t="s">
        <v>199</v>
      </c>
    </row>
    <row r="24" spans="2:84">
      <c r="B24" s="199" t="s">
        <v>42</v>
      </c>
      <c r="C24" s="200" t="s">
        <v>200</v>
      </c>
    </row>
    <row r="25" spans="2:84">
      <c r="B25" s="196"/>
      <c r="C25" s="200" t="s">
        <v>201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78B16-1325-49AD-9B7B-1E57F24C2C86}">
  <dimension ref="A1:AG31"/>
  <sheetViews>
    <sheetView zoomScaleNormal="100" workbookViewId="0">
      <pane xSplit="2" ySplit="2" topLeftCell="C3" activePane="bottomRight" state="frozen"/>
      <selection pane="bottomRight" activeCell="A6" sqref="A6"/>
      <selection pane="bottomLeft" activeCell="A3" sqref="A3"/>
      <selection pane="topRight" activeCell="C1" sqref="C1"/>
    </sheetView>
  </sheetViews>
  <sheetFormatPr defaultColWidth="8.5703125" defaultRowHeight="14.45"/>
  <cols>
    <col min="1" max="1" width="2.85546875" style="89" customWidth="1"/>
    <col min="2" max="2" width="30.140625" style="89" bestFit="1" customWidth="1"/>
    <col min="3" max="3" width="15.28515625" style="89" customWidth="1"/>
    <col min="4" max="4" width="11.42578125" style="89" customWidth="1"/>
    <col min="5" max="5" width="11.5703125" style="89" customWidth="1"/>
    <col min="6" max="6" width="84.140625" style="90" customWidth="1"/>
    <col min="7" max="7" width="37.85546875" style="89" customWidth="1"/>
    <col min="8" max="8" width="22.85546875" style="89" customWidth="1"/>
    <col min="9" max="9" width="44.85546875" style="90" customWidth="1"/>
    <col min="10" max="10" width="17" style="89" customWidth="1"/>
    <col min="11" max="11" width="16.5703125" style="90" customWidth="1"/>
    <col min="12" max="12" width="9.85546875" style="90" customWidth="1"/>
    <col min="13" max="13" width="19" style="90" customWidth="1"/>
    <col min="14" max="14" width="22.42578125" style="90" customWidth="1"/>
    <col min="15" max="15" width="25.5703125" style="90" customWidth="1"/>
    <col min="16" max="16" width="6.5703125" style="89" customWidth="1"/>
    <col min="17" max="18" width="8.5703125" style="89" customWidth="1"/>
    <col min="19" max="19" width="68.42578125" style="90" customWidth="1"/>
    <col min="20" max="20" width="89.85546875" style="89" customWidth="1"/>
    <col min="21" max="21" width="90.5703125" style="90" customWidth="1"/>
    <col min="22" max="22" width="9" style="91" bestFit="1" customWidth="1"/>
    <col min="23" max="23" width="4.42578125" style="91" bestFit="1" customWidth="1"/>
    <col min="24" max="24" width="3.85546875" style="91" bestFit="1" customWidth="1"/>
    <col min="25" max="25" width="4.42578125" style="91" bestFit="1" customWidth="1"/>
    <col min="26" max="26" width="18.5703125" style="91" bestFit="1" customWidth="1"/>
    <col min="27" max="27" width="3.140625" style="91" bestFit="1" customWidth="1"/>
    <col min="28" max="28" width="40.140625" style="90" customWidth="1"/>
    <col min="29" max="29" width="30.5703125" style="90" customWidth="1"/>
    <col min="30" max="30" width="40.140625" style="90" customWidth="1"/>
    <col min="31" max="31" width="10.42578125" style="92" bestFit="1" customWidth="1"/>
    <col min="32" max="32" width="52.5703125" style="90" customWidth="1"/>
    <col min="33" max="33" width="80.5703125" style="89" customWidth="1"/>
    <col min="34" max="16384" width="8.5703125" style="89"/>
  </cols>
  <sheetData>
    <row r="1" spans="1:33" s="111" customFormat="1">
      <c r="A1" s="223" t="s">
        <v>22</v>
      </c>
      <c r="B1" s="224" t="s">
        <v>202</v>
      </c>
      <c r="C1" s="223" t="s">
        <v>203</v>
      </c>
      <c r="D1" s="223" t="s">
        <v>187</v>
      </c>
      <c r="E1" s="223" t="s">
        <v>188</v>
      </c>
      <c r="F1" s="225" t="s">
        <v>204</v>
      </c>
      <c r="G1" s="223" t="s">
        <v>205</v>
      </c>
      <c r="H1" s="223" t="s">
        <v>206</v>
      </c>
      <c r="I1" s="222" t="s">
        <v>133</v>
      </c>
      <c r="J1" s="224" t="s">
        <v>207</v>
      </c>
      <c r="K1" s="223" t="s">
        <v>138</v>
      </c>
      <c r="L1" s="223"/>
      <c r="M1" s="223"/>
      <c r="N1" s="223"/>
      <c r="O1" s="223"/>
      <c r="P1" s="223"/>
      <c r="Q1" s="223"/>
      <c r="R1" s="223"/>
      <c r="S1" s="222" t="s">
        <v>208</v>
      </c>
      <c r="T1" s="224" t="s">
        <v>209</v>
      </c>
      <c r="U1" s="222" t="s">
        <v>210</v>
      </c>
      <c r="V1" s="225" t="s">
        <v>211</v>
      </c>
      <c r="W1" s="225"/>
      <c r="X1" s="225"/>
      <c r="Y1" s="225"/>
      <c r="Z1" s="225"/>
      <c r="AA1" s="225"/>
      <c r="AB1" s="225"/>
      <c r="AC1" s="225"/>
      <c r="AD1" s="110"/>
      <c r="AE1" s="223" t="s">
        <v>212</v>
      </c>
      <c r="AF1" s="223"/>
      <c r="AG1" s="223" t="s">
        <v>213</v>
      </c>
    </row>
    <row r="2" spans="1:33" s="111" customFormat="1">
      <c r="A2" s="223"/>
      <c r="B2" s="224"/>
      <c r="C2" s="223"/>
      <c r="D2" s="223"/>
      <c r="E2" s="223"/>
      <c r="F2" s="225"/>
      <c r="G2" s="223"/>
      <c r="H2" s="223"/>
      <c r="I2" s="222"/>
      <c r="J2" s="224"/>
      <c r="K2" s="110" t="s">
        <v>214</v>
      </c>
      <c r="L2" s="110" t="s">
        <v>215</v>
      </c>
      <c r="M2" s="110" t="s">
        <v>216</v>
      </c>
      <c r="N2" s="110" t="s">
        <v>203</v>
      </c>
      <c r="O2" s="110" t="s">
        <v>187</v>
      </c>
      <c r="P2" s="109" t="s">
        <v>188</v>
      </c>
      <c r="Q2" s="109" t="s">
        <v>217</v>
      </c>
      <c r="R2" s="109" t="s">
        <v>218</v>
      </c>
      <c r="S2" s="222"/>
      <c r="T2" s="224"/>
      <c r="U2" s="222"/>
      <c r="V2" s="110" t="s">
        <v>214</v>
      </c>
      <c r="W2" s="110" t="s">
        <v>215</v>
      </c>
      <c r="X2" s="110" t="s">
        <v>216</v>
      </c>
      <c r="Y2" s="110" t="s">
        <v>219</v>
      </c>
      <c r="Z2" s="110" t="s">
        <v>187</v>
      </c>
      <c r="AA2" s="110" t="s">
        <v>188</v>
      </c>
      <c r="AB2" s="110" t="s">
        <v>217</v>
      </c>
      <c r="AC2" s="110" t="s">
        <v>220</v>
      </c>
      <c r="AD2" s="110" t="s">
        <v>221</v>
      </c>
      <c r="AE2" s="109" t="s">
        <v>222</v>
      </c>
      <c r="AF2" s="110" t="s">
        <v>223</v>
      </c>
      <c r="AG2" s="223"/>
    </row>
    <row r="3" spans="1:33" ht="29.1">
      <c r="A3" s="93">
        <v>1</v>
      </c>
      <c r="B3" s="93" t="s">
        <v>224</v>
      </c>
      <c r="C3" s="93"/>
      <c r="D3" s="94"/>
      <c r="E3" s="94"/>
      <c r="F3" s="96" t="s">
        <v>225</v>
      </c>
      <c r="G3" s="96"/>
      <c r="H3" s="93" t="s">
        <v>226</v>
      </c>
      <c r="I3" s="96" t="s">
        <v>227</v>
      </c>
      <c r="J3" s="93" t="s">
        <v>228</v>
      </c>
      <c r="K3" s="96" t="s">
        <v>229</v>
      </c>
      <c r="L3" s="96" t="s">
        <v>229</v>
      </c>
      <c r="M3" s="96" t="s">
        <v>229</v>
      </c>
      <c r="N3" s="96" t="s">
        <v>230</v>
      </c>
      <c r="O3" s="96" t="s">
        <v>230</v>
      </c>
      <c r="P3" s="93"/>
      <c r="Q3" s="93" t="s">
        <v>231</v>
      </c>
      <c r="R3" s="93"/>
      <c r="S3" s="96" t="s">
        <v>232</v>
      </c>
      <c r="T3" s="112" t="s">
        <v>233</v>
      </c>
      <c r="U3" s="96"/>
      <c r="V3" s="97">
        <v>0</v>
      </c>
      <c r="W3" s="97">
        <v>0</v>
      </c>
      <c r="X3" s="97">
        <v>0</v>
      </c>
      <c r="Y3" s="97">
        <v>0</v>
      </c>
      <c r="Z3" s="97">
        <v>0</v>
      </c>
      <c r="AA3" s="97">
        <v>0</v>
      </c>
      <c r="AB3" s="96">
        <v>1</v>
      </c>
      <c r="AC3" s="96" t="s">
        <v>234</v>
      </c>
      <c r="AD3" s="96" t="s">
        <v>235</v>
      </c>
      <c r="AE3" s="6" t="s">
        <v>236</v>
      </c>
      <c r="AF3" s="96" t="s">
        <v>237</v>
      </c>
      <c r="AG3" s="93"/>
    </row>
    <row r="4" spans="1:33" ht="43.5">
      <c r="A4" s="93">
        <v>2</v>
      </c>
      <c r="B4" s="93" t="s">
        <v>238</v>
      </c>
      <c r="C4" s="93"/>
      <c r="D4" s="94"/>
      <c r="E4" s="94"/>
      <c r="F4" s="96" t="s">
        <v>239</v>
      </c>
      <c r="G4" s="96"/>
      <c r="H4" s="93" t="s">
        <v>226</v>
      </c>
      <c r="I4" s="96" t="s">
        <v>240</v>
      </c>
      <c r="J4" s="93" t="s">
        <v>228</v>
      </c>
      <c r="K4" s="96" t="s">
        <v>229</v>
      </c>
      <c r="L4" s="96" t="s">
        <v>229</v>
      </c>
      <c r="M4" s="96" t="s">
        <v>229</v>
      </c>
      <c r="N4" s="96" t="s">
        <v>230</v>
      </c>
      <c r="O4" s="96" t="s">
        <v>230</v>
      </c>
      <c r="P4" s="93"/>
      <c r="Q4" s="93" t="s">
        <v>231</v>
      </c>
      <c r="R4" s="93"/>
      <c r="S4" s="96" t="s">
        <v>241</v>
      </c>
      <c r="T4" s="112" t="s">
        <v>242</v>
      </c>
      <c r="U4" s="96"/>
      <c r="V4" s="97">
        <v>0</v>
      </c>
      <c r="W4" s="97">
        <v>0</v>
      </c>
      <c r="X4" s="97">
        <v>0</v>
      </c>
      <c r="Y4" s="97">
        <v>0</v>
      </c>
      <c r="Z4" s="97">
        <v>0</v>
      </c>
      <c r="AA4" s="97">
        <v>0</v>
      </c>
      <c r="AB4" s="96">
        <v>1</v>
      </c>
      <c r="AC4" s="96" t="s">
        <v>243</v>
      </c>
      <c r="AD4" s="96" t="s">
        <v>244</v>
      </c>
      <c r="AE4" s="6" t="s">
        <v>236</v>
      </c>
      <c r="AF4" s="96" t="s">
        <v>245</v>
      </c>
      <c r="AG4" s="93"/>
    </row>
    <row r="5" spans="1:33" ht="31.5" customHeight="1">
      <c r="A5" s="93">
        <v>3</v>
      </c>
      <c r="B5" s="93" t="s">
        <v>47</v>
      </c>
      <c r="C5" s="93"/>
      <c r="D5" s="94" t="s">
        <v>50</v>
      </c>
      <c r="E5" s="94" t="s">
        <v>51</v>
      </c>
      <c r="F5" s="126" t="s">
        <v>246</v>
      </c>
      <c r="G5" s="95"/>
      <c r="H5" s="93" t="s">
        <v>226</v>
      </c>
      <c r="I5" s="96" t="s">
        <v>247</v>
      </c>
      <c r="J5" s="93" t="s">
        <v>248</v>
      </c>
      <c r="K5" s="96" t="s">
        <v>249</v>
      </c>
      <c r="L5" s="96" t="s">
        <v>250</v>
      </c>
      <c r="M5" s="96" t="s">
        <v>250</v>
      </c>
      <c r="N5" s="96" t="s">
        <v>249</v>
      </c>
      <c r="O5" s="96" t="s">
        <v>249</v>
      </c>
      <c r="P5" s="93"/>
      <c r="Q5" s="93"/>
      <c r="R5" s="93"/>
      <c r="S5" s="96" t="s">
        <v>251</v>
      </c>
      <c r="T5" s="93" t="s">
        <v>252</v>
      </c>
      <c r="U5" s="96"/>
      <c r="V5" s="97">
        <v>0</v>
      </c>
      <c r="W5" s="97">
        <v>0</v>
      </c>
      <c r="X5" s="97">
        <v>0</v>
      </c>
      <c r="Y5" s="97">
        <v>0</v>
      </c>
      <c r="Z5" s="97">
        <v>0</v>
      </c>
      <c r="AA5" s="97">
        <v>1</v>
      </c>
      <c r="AB5" s="96"/>
      <c r="AC5" s="96" t="s">
        <v>234</v>
      </c>
      <c r="AD5" s="96" t="s">
        <v>253</v>
      </c>
      <c r="AE5" s="6" t="s">
        <v>254</v>
      </c>
      <c r="AF5" s="96" t="s">
        <v>255</v>
      </c>
      <c r="AG5" s="93"/>
    </row>
    <row r="6" spans="1:33" ht="101.45">
      <c r="A6" s="93">
        <v>4</v>
      </c>
      <c r="B6" s="93" t="s">
        <v>54</v>
      </c>
      <c r="C6" s="93" t="s">
        <v>55</v>
      </c>
      <c r="D6" s="94" t="s">
        <v>50</v>
      </c>
      <c r="E6" s="94" t="s">
        <v>51</v>
      </c>
      <c r="F6" s="96" t="s">
        <v>256</v>
      </c>
      <c r="G6" s="96" t="s">
        <v>257</v>
      </c>
      <c r="H6" s="93" t="s">
        <v>226</v>
      </c>
      <c r="I6" s="96" t="s">
        <v>258</v>
      </c>
      <c r="J6" s="93" t="s">
        <v>248</v>
      </c>
      <c r="K6" s="96" t="s">
        <v>249</v>
      </c>
      <c r="L6" s="96" t="s">
        <v>249</v>
      </c>
      <c r="M6" s="96" t="s">
        <v>249</v>
      </c>
      <c r="N6" s="96" t="s">
        <v>230</v>
      </c>
      <c r="O6" s="96" t="s">
        <v>259</v>
      </c>
      <c r="P6" s="93"/>
      <c r="Q6" s="93"/>
      <c r="R6" s="93"/>
      <c r="S6" s="96" t="s">
        <v>260</v>
      </c>
      <c r="T6" s="112" t="s">
        <v>261</v>
      </c>
      <c r="U6" s="96" t="s">
        <v>262</v>
      </c>
      <c r="V6" s="97">
        <v>1</v>
      </c>
      <c r="W6" s="97">
        <v>0</v>
      </c>
      <c r="X6" s="97">
        <v>0</v>
      </c>
      <c r="Y6" s="97">
        <v>0</v>
      </c>
      <c r="Z6" s="97">
        <v>5</v>
      </c>
      <c r="AA6" s="97">
        <v>3</v>
      </c>
      <c r="AB6" s="112" t="s">
        <v>263</v>
      </c>
      <c r="AC6" s="96" t="s">
        <v>264</v>
      </c>
      <c r="AD6" s="112" t="s">
        <v>265</v>
      </c>
      <c r="AE6" s="6" t="s">
        <v>236</v>
      </c>
      <c r="AF6" s="96" t="s">
        <v>266</v>
      </c>
      <c r="AG6" s="93"/>
    </row>
    <row r="7" spans="1:33" ht="130.5">
      <c r="A7" s="93">
        <v>5</v>
      </c>
      <c r="B7" s="93" t="s">
        <v>69</v>
      </c>
      <c r="C7" s="93" t="s">
        <v>267</v>
      </c>
      <c r="D7" s="94" t="s">
        <v>61</v>
      </c>
      <c r="E7" s="94"/>
      <c r="F7" s="96" t="s">
        <v>268</v>
      </c>
      <c r="G7" s="96" t="s">
        <v>269</v>
      </c>
      <c r="H7" s="93" t="s">
        <v>226</v>
      </c>
      <c r="I7" s="96" t="s">
        <v>270</v>
      </c>
      <c r="J7" s="93" t="s">
        <v>228</v>
      </c>
      <c r="K7" s="96" t="s">
        <v>230</v>
      </c>
      <c r="L7" s="96" t="s">
        <v>230</v>
      </c>
      <c r="M7" s="96" t="s">
        <v>230</v>
      </c>
      <c r="N7" s="96" t="s">
        <v>230</v>
      </c>
      <c r="O7" s="96"/>
      <c r="P7" s="93"/>
      <c r="Q7" s="93"/>
      <c r="R7" s="93"/>
      <c r="S7" s="96" t="s">
        <v>271</v>
      </c>
      <c r="T7" s="93" t="s">
        <v>272</v>
      </c>
      <c r="U7" s="96" t="s">
        <v>273</v>
      </c>
      <c r="V7" s="97">
        <v>0</v>
      </c>
      <c r="W7" s="97">
        <v>0</v>
      </c>
      <c r="X7" s="97">
        <v>0</v>
      </c>
      <c r="Y7" s="97">
        <v>0</v>
      </c>
      <c r="Z7" s="97">
        <v>6</v>
      </c>
      <c r="AA7" s="97">
        <v>0</v>
      </c>
      <c r="AB7" s="96" t="s">
        <v>274</v>
      </c>
      <c r="AC7" s="96" t="s">
        <v>275</v>
      </c>
      <c r="AD7" s="96" t="s">
        <v>74</v>
      </c>
      <c r="AE7" s="6" t="s">
        <v>276</v>
      </c>
      <c r="AF7" s="96" t="s">
        <v>277</v>
      </c>
      <c r="AG7" s="93"/>
    </row>
    <row r="8" spans="1:33" s="114" customFormat="1" ht="29.1">
      <c r="A8" s="98">
        <v>6</v>
      </c>
      <c r="B8" s="98" t="s">
        <v>60</v>
      </c>
      <c r="C8" s="98" t="s">
        <v>55</v>
      </c>
      <c r="D8" s="98" t="s">
        <v>50</v>
      </c>
      <c r="E8" s="98"/>
      <c r="F8" s="127" t="s">
        <v>278</v>
      </c>
      <c r="G8" s="98" t="s">
        <v>269</v>
      </c>
      <c r="H8" s="98" t="s">
        <v>226</v>
      </c>
      <c r="I8" s="99" t="s">
        <v>279</v>
      </c>
      <c r="J8" s="98" t="s">
        <v>228</v>
      </c>
      <c r="K8" s="99" t="s">
        <v>249</v>
      </c>
      <c r="L8" s="99" t="s">
        <v>249</v>
      </c>
      <c r="M8" s="99" t="s">
        <v>249</v>
      </c>
      <c r="N8" s="99" t="s">
        <v>230</v>
      </c>
      <c r="O8" s="99"/>
      <c r="P8" s="98"/>
      <c r="Q8" s="98"/>
      <c r="R8" s="98"/>
      <c r="S8" s="99" t="s">
        <v>280</v>
      </c>
      <c r="T8" s="98" t="s">
        <v>252</v>
      </c>
      <c r="U8" s="99"/>
      <c r="V8" s="100">
        <v>1</v>
      </c>
      <c r="W8" s="100">
        <v>0</v>
      </c>
      <c r="X8" s="100">
        <v>0</v>
      </c>
      <c r="Y8" s="100">
        <v>0</v>
      </c>
      <c r="Z8" s="100">
        <v>5</v>
      </c>
      <c r="AA8" s="100">
        <v>0</v>
      </c>
      <c r="AB8" s="113" t="s">
        <v>281</v>
      </c>
      <c r="AC8" s="99" t="s">
        <v>234</v>
      </c>
      <c r="AD8" s="99" t="s">
        <v>282</v>
      </c>
      <c r="AE8" s="101" t="s">
        <v>276</v>
      </c>
      <c r="AF8" s="99" t="s">
        <v>283</v>
      </c>
      <c r="AG8" s="98"/>
    </row>
    <row r="9" spans="1:33" ht="43.5">
      <c r="A9" s="93">
        <v>7</v>
      </c>
      <c r="B9" s="93" t="s">
        <v>72</v>
      </c>
      <c r="C9" s="93" t="s">
        <v>267</v>
      </c>
      <c r="D9" s="94" t="s">
        <v>50</v>
      </c>
      <c r="E9" s="94"/>
      <c r="F9" s="96" t="s">
        <v>284</v>
      </c>
      <c r="G9" s="96" t="s">
        <v>269</v>
      </c>
      <c r="H9" s="93" t="s">
        <v>226</v>
      </c>
      <c r="I9" s="96" t="s">
        <v>285</v>
      </c>
      <c r="J9" s="93" t="s">
        <v>228</v>
      </c>
      <c r="K9" s="96" t="s">
        <v>230</v>
      </c>
      <c r="L9" s="96" t="s">
        <v>286</v>
      </c>
      <c r="M9" s="96" t="s">
        <v>286</v>
      </c>
      <c r="N9" s="96" t="s">
        <v>230</v>
      </c>
      <c r="O9" s="96"/>
      <c r="P9" s="93"/>
      <c r="Q9" s="93"/>
      <c r="R9" s="93"/>
      <c r="S9" s="96" t="s">
        <v>287</v>
      </c>
      <c r="T9" s="93" t="s">
        <v>272</v>
      </c>
      <c r="U9" s="96" t="s">
        <v>288</v>
      </c>
      <c r="V9" s="97">
        <v>0</v>
      </c>
      <c r="W9" s="97">
        <v>0</v>
      </c>
      <c r="X9" s="97">
        <v>0</v>
      </c>
      <c r="Y9" s="97">
        <v>0</v>
      </c>
      <c r="Z9" s="97">
        <v>3</v>
      </c>
      <c r="AA9" s="97">
        <v>0</v>
      </c>
      <c r="AB9" s="96" t="s">
        <v>274</v>
      </c>
      <c r="AC9" s="96" t="s">
        <v>234</v>
      </c>
      <c r="AD9" s="96" t="s">
        <v>71</v>
      </c>
      <c r="AE9" s="6" t="s">
        <v>236</v>
      </c>
      <c r="AF9" s="96" t="s">
        <v>289</v>
      </c>
      <c r="AG9" s="93"/>
    </row>
    <row r="10" spans="1:33" ht="87">
      <c r="A10" s="93">
        <v>8</v>
      </c>
      <c r="B10" s="93" t="s">
        <v>290</v>
      </c>
      <c r="C10" s="93" t="s">
        <v>81</v>
      </c>
      <c r="D10" s="94" t="s">
        <v>61</v>
      </c>
      <c r="E10" s="94" t="s">
        <v>51</v>
      </c>
      <c r="F10" s="96" t="s">
        <v>291</v>
      </c>
      <c r="G10" s="96" t="s">
        <v>269</v>
      </c>
      <c r="H10" s="93" t="s">
        <v>292</v>
      </c>
      <c r="I10" s="96" t="s">
        <v>293</v>
      </c>
      <c r="J10" s="93" t="s">
        <v>228</v>
      </c>
      <c r="K10" s="96" t="s">
        <v>230</v>
      </c>
      <c r="L10" s="96" t="s">
        <v>230</v>
      </c>
      <c r="M10" s="96" t="s">
        <v>230</v>
      </c>
      <c r="N10" s="96" t="s">
        <v>294</v>
      </c>
      <c r="O10" s="96"/>
      <c r="P10" s="93"/>
      <c r="Q10" s="93"/>
      <c r="R10" s="93"/>
      <c r="S10" s="96" t="s">
        <v>295</v>
      </c>
      <c r="T10" s="112" t="s">
        <v>296</v>
      </c>
      <c r="U10" s="96" t="s">
        <v>297</v>
      </c>
      <c r="V10" s="97">
        <v>0</v>
      </c>
      <c r="W10" s="97">
        <v>0</v>
      </c>
      <c r="X10" s="97">
        <v>0</v>
      </c>
      <c r="Y10" s="97">
        <v>8</v>
      </c>
      <c r="Z10" s="97">
        <v>5</v>
      </c>
      <c r="AA10" s="97">
        <v>4</v>
      </c>
      <c r="AB10" s="96">
        <v>2</v>
      </c>
      <c r="AC10" s="96" t="s">
        <v>234</v>
      </c>
      <c r="AD10" s="96" t="s">
        <v>82</v>
      </c>
      <c r="AE10" s="6" t="s">
        <v>298</v>
      </c>
      <c r="AF10" s="96" t="s">
        <v>299</v>
      </c>
      <c r="AG10" s="95" t="s">
        <v>300</v>
      </c>
    </row>
    <row r="11" spans="1:33" ht="72.599999999999994">
      <c r="A11" s="93">
        <v>9</v>
      </c>
      <c r="B11" s="93" t="s">
        <v>89</v>
      </c>
      <c r="C11" s="93"/>
      <c r="D11" s="94" t="s">
        <v>61</v>
      </c>
      <c r="E11" s="94" t="s">
        <v>51</v>
      </c>
      <c r="F11" s="96" t="s">
        <v>301</v>
      </c>
      <c r="G11" s="96" t="s">
        <v>302</v>
      </c>
      <c r="H11" s="93" t="s">
        <v>292</v>
      </c>
      <c r="I11" s="96" t="s">
        <v>303</v>
      </c>
      <c r="J11" s="93" t="s">
        <v>304</v>
      </c>
      <c r="K11" s="96" t="s">
        <v>305</v>
      </c>
      <c r="L11" s="96" t="s">
        <v>230</v>
      </c>
      <c r="M11" s="96" t="s">
        <v>306</v>
      </c>
      <c r="N11" s="96" t="s">
        <v>230</v>
      </c>
      <c r="O11" s="96" t="s">
        <v>307</v>
      </c>
      <c r="P11" s="93"/>
      <c r="Q11" s="93"/>
      <c r="R11" s="93"/>
      <c r="S11" s="96" t="s">
        <v>308</v>
      </c>
      <c r="T11" s="93" t="s">
        <v>252</v>
      </c>
      <c r="U11" s="96" t="s">
        <v>309</v>
      </c>
      <c r="V11" s="97">
        <v>2</v>
      </c>
      <c r="W11" s="97">
        <v>0</v>
      </c>
      <c r="X11" s="97">
        <v>1</v>
      </c>
      <c r="Y11" s="97">
        <v>0</v>
      </c>
      <c r="Z11" s="97">
        <v>2</v>
      </c>
      <c r="AA11" s="97">
        <v>2</v>
      </c>
      <c r="AB11" s="96"/>
      <c r="AC11" s="96" t="s">
        <v>234</v>
      </c>
      <c r="AD11" s="96" t="s">
        <v>310</v>
      </c>
      <c r="AE11" s="6" t="s">
        <v>276</v>
      </c>
      <c r="AF11" s="96" t="s">
        <v>311</v>
      </c>
      <c r="AG11" s="93"/>
    </row>
    <row r="12" spans="1:33" ht="116.1">
      <c r="A12" s="93">
        <v>10</v>
      </c>
      <c r="B12" s="93" t="s">
        <v>63</v>
      </c>
      <c r="C12" s="93" t="s">
        <v>55</v>
      </c>
      <c r="D12" s="94"/>
      <c r="E12" s="94" t="s">
        <v>51</v>
      </c>
      <c r="F12" s="96" t="s">
        <v>256</v>
      </c>
      <c r="G12" s="96" t="s">
        <v>257</v>
      </c>
      <c r="H12" s="93" t="s">
        <v>226</v>
      </c>
      <c r="I12" s="96" t="s">
        <v>312</v>
      </c>
      <c r="J12" s="93" t="s">
        <v>304</v>
      </c>
      <c r="K12" s="96" t="s">
        <v>313</v>
      </c>
      <c r="L12" s="96" t="s">
        <v>249</v>
      </c>
      <c r="M12" s="96" t="s">
        <v>314</v>
      </c>
      <c r="N12" s="96" t="s">
        <v>230</v>
      </c>
      <c r="O12" s="96" t="s">
        <v>259</v>
      </c>
      <c r="P12" s="93"/>
      <c r="Q12" s="93"/>
      <c r="R12" s="93"/>
      <c r="S12" s="96" t="s">
        <v>315</v>
      </c>
      <c r="T12" s="112" t="s">
        <v>316</v>
      </c>
      <c r="U12" s="96" t="s">
        <v>317</v>
      </c>
      <c r="V12" s="97">
        <v>2</v>
      </c>
      <c r="W12" s="97">
        <v>0</v>
      </c>
      <c r="X12" s="97">
        <v>1</v>
      </c>
      <c r="Y12" s="97">
        <v>5</v>
      </c>
      <c r="Z12" s="97">
        <v>2</v>
      </c>
      <c r="AA12" s="97">
        <v>6</v>
      </c>
      <c r="AB12" s="96" t="s">
        <v>318</v>
      </c>
      <c r="AC12" s="96" t="s">
        <v>319</v>
      </c>
      <c r="AD12" s="96" t="s">
        <v>320</v>
      </c>
      <c r="AE12" s="6" t="s">
        <v>276</v>
      </c>
      <c r="AF12" s="96" t="s">
        <v>321</v>
      </c>
      <c r="AG12" s="93"/>
    </row>
    <row r="13" spans="1:33" ht="57.95">
      <c r="A13" s="93">
        <v>11</v>
      </c>
      <c r="B13" s="93" t="s">
        <v>75</v>
      </c>
      <c r="C13" s="93" t="s">
        <v>267</v>
      </c>
      <c r="D13" s="94" t="s">
        <v>322</v>
      </c>
      <c r="E13" s="94" t="s">
        <v>71</v>
      </c>
      <c r="F13" s="96" t="s">
        <v>323</v>
      </c>
      <c r="G13" s="96" t="s">
        <v>269</v>
      </c>
      <c r="H13" s="93" t="s">
        <v>226</v>
      </c>
      <c r="I13" s="96" t="s">
        <v>324</v>
      </c>
      <c r="J13" s="93" t="s">
        <v>228</v>
      </c>
      <c r="K13" s="96" t="s">
        <v>325</v>
      </c>
      <c r="L13" s="96"/>
      <c r="M13" s="96"/>
      <c r="N13" s="96"/>
      <c r="O13" s="96"/>
      <c r="P13" s="93"/>
      <c r="Q13" s="93"/>
      <c r="R13" s="93"/>
      <c r="S13" s="96" t="s">
        <v>326</v>
      </c>
      <c r="T13" s="93" t="s">
        <v>252</v>
      </c>
      <c r="U13" s="96" t="s">
        <v>327</v>
      </c>
      <c r="V13" s="97">
        <v>3</v>
      </c>
      <c r="W13" s="97">
        <v>1</v>
      </c>
      <c r="X13" s="97">
        <v>1</v>
      </c>
      <c r="Y13" s="97">
        <v>6</v>
      </c>
      <c r="Z13" s="97">
        <v>2</v>
      </c>
      <c r="AA13" s="97">
        <v>0</v>
      </c>
      <c r="AB13" s="96"/>
      <c r="AC13" s="96" t="s">
        <v>234</v>
      </c>
      <c r="AD13" s="96" t="s">
        <v>328</v>
      </c>
      <c r="AE13" s="6" t="s">
        <v>276</v>
      </c>
      <c r="AF13" s="96" t="s">
        <v>329</v>
      </c>
      <c r="AG13" s="93"/>
    </row>
    <row r="14" spans="1:33" ht="116.1">
      <c r="A14" s="93">
        <v>12</v>
      </c>
      <c r="B14" s="93" t="s">
        <v>103</v>
      </c>
      <c r="C14" s="93" t="s">
        <v>49</v>
      </c>
      <c r="D14" s="94" t="s">
        <v>322</v>
      </c>
      <c r="E14" s="94" t="s">
        <v>51</v>
      </c>
      <c r="F14" s="126" t="s">
        <v>330</v>
      </c>
      <c r="G14" s="95" t="s">
        <v>331</v>
      </c>
      <c r="H14" s="93" t="s">
        <v>332</v>
      </c>
      <c r="I14" s="96" t="s">
        <v>333</v>
      </c>
      <c r="J14" s="93" t="s">
        <v>334</v>
      </c>
      <c r="K14" s="96" t="s">
        <v>325</v>
      </c>
      <c r="L14" s="96"/>
      <c r="M14" s="96"/>
      <c r="N14" s="96"/>
      <c r="O14" s="96"/>
      <c r="P14" s="93"/>
      <c r="Q14" s="93"/>
      <c r="R14" s="93"/>
      <c r="S14" s="96" t="s">
        <v>335</v>
      </c>
      <c r="T14" s="93" t="s">
        <v>252</v>
      </c>
      <c r="U14" s="96" t="s">
        <v>336</v>
      </c>
      <c r="V14" s="97">
        <v>4</v>
      </c>
      <c r="W14" s="97">
        <v>1</v>
      </c>
      <c r="X14" s="97">
        <v>1</v>
      </c>
      <c r="Y14" s="97">
        <v>7</v>
      </c>
      <c r="Z14" s="97">
        <v>2</v>
      </c>
      <c r="AA14" s="97">
        <v>2</v>
      </c>
      <c r="AB14" s="96"/>
      <c r="AC14" s="96" t="s">
        <v>234</v>
      </c>
      <c r="AD14" s="96" t="s">
        <v>337</v>
      </c>
      <c r="AE14" s="6" t="s">
        <v>254</v>
      </c>
      <c r="AF14" s="96" t="s">
        <v>338</v>
      </c>
      <c r="AG14" s="93"/>
    </row>
    <row r="15" spans="1:33" ht="72.599999999999994">
      <c r="A15" s="93">
        <v>13</v>
      </c>
      <c r="B15" s="93" t="s">
        <v>91</v>
      </c>
      <c r="C15" s="93"/>
      <c r="D15" s="94" t="s">
        <v>50</v>
      </c>
      <c r="E15" s="94" t="s">
        <v>51</v>
      </c>
      <c r="F15" s="126" t="s">
        <v>339</v>
      </c>
      <c r="G15" s="95" t="s">
        <v>302</v>
      </c>
      <c r="H15" s="93" t="s">
        <v>226</v>
      </c>
      <c r="I15" s="96" t="s">
        <v>340</v>
      </c>
      <c r="J15" s="93" t="s">
        <v>341</v>
      </c>
      <c r="K15" s="96" t="s">
        <v>325</v>
      </c>
      <c r="L15" s="96"/>
      <c r="M15" s="96"/>
      <c r="N15" s="96"/>
      <c r="O15" s="96"/>
      <c r="P15" s="93"/>
      <c r="Q15" s="93"/>
      <c r="R15" s="93"/>
      <c r="S15" s="96" t="s">
        <v>342</v>
      </c>
      <c r="T15" s="112" t="s">
        <v>343</v>
      </c>
      <c r="U15" s="96" t="s">
        <v>344</v>
      </c>
      <c r="V15" s="97">
        <v>1</v>
      </c>
      <c r="W15" s="97">
        <v>0</v>
      </c>
      <c r="X15" s="97">
        <v>1</v>
      </c>
      <c r="Y15" s="97">
        <v>3</v>
      </c>
      <c r="Z15" s="97">
        <v>1</v>
      </c>
      <c r="AA15" s="97">
        <v>2</v>
      </c>
      <c r="AB15" s="96">
        <v>1</v>
      </c>
      <c r="AC15" s="96" t="s">
        <v>234</v>
      </c>
      <c r="AD15" s="96" t="s">
        <v>74</v>
      </c>
      <c r="AE15" s="6" t="s">
        <v>236</v>
      </c>
      <c r="AF15" s="96" t="s">
        <v>345</v>
      </c>
      <c r="AG15" s="93"/>
    </row>
    <row r="16" spans="1:33" ht="72.599999999999994">
      <c r="A16" s="93">
        <v>14</v>
      </c>
      <c r="B16" s="93" t="s">
        <v>78</v>
      </c>
      <c r="C16" s="93"/>
      <c r="D16" s="94" t="s">
        <v>61</v>
      </c>
      <c r="E16" s="94" t="s">
        <v>51</v>
      </c>
      <c r="F16" s="96" t="s">
        <v>346</v>
      </c>
      <c r="G16" s="96" t="s">
        <v>302</v>
      </c>
      <c r="H16" s="93" t="s">
        <v>292</v>
      </c>
      <c r="I16" s="96" t="s">
        <v>347</v>
      </c>
      <c r="J16" s="93" t="s">
        <v>348</v>
      </c>
      <c r="K16" s="96" t="s">
        <v>325</v>
      </c>
      <c r="L16" s="96"/>
      <c r="M16" s="96"/>
      <c r="N16" s="96"/>
      <c r="O16" s="96"/>
      <c r="P16" s="93"/>
      <c r="Q16" s="93"/>
      <c r="R16" s="93"/>
      <c r="S16" s="96" t="s">
        <v>349</v>
      </c>
      <c r="T16" s="112" t="s">
        <v>350</v>
      </c>
      <c r="U16" s="96"/>
      <c r="V16" s="97">
        <v>2</v>
      </c>
      <c r="W16" s="97">
        <v>1</v>
      </c>
      <c r="X16" s="97">
        <v>1</v>
      </c>
      <c r="Y16" s="97">
        <v>7</v>
      </c>
      <c r="Z16" s="97">
        <v>1</v>
      </c>
      <c r="AA16" s="97">
        <v>1</v>
      </c>
      <c r="AB16" s="96">
        <v>1</v>
      </c>
      <c r="AC16" s="96" t="s">
        <v>234</v>
      </c>
      <c r="AD16" s="96" t="s">
        <v>244</v>
      </c>
      <c r="AE16" s="6" t="s">
        <v>276</v>
      </c>
      <c r="AF16" s="96" t="s">
        <v>351</v>
      </c>
      <c r="AG16" s="93"/>
    </row>
    <row r="17" spans="1:33" ht="43.5">
      <c r="A17" s="93">
        <v>15</v>
      </c>
      <c r="B17" s="93" t="s">
        <v>73</v>
      </c>
      <c r="C17" s="93" t="s">
        <v>267</v>
      </c>
      <c r="D17" s="94" t="s">
        <v>50</v>
      </c>
      <c r="E17" s="94"/>
      <c r="F17" s="126" t="s">
        <v>352</v>
      </c>
      <c r="G17" s="95" t="s">
        <v>269</v>
      </c>
      <c r="H17" s="93" t="s">
        <v>226</v>
      </c>
      <c r="I17" s="96" t="s">
        <v>353</v>
      </c>
      <c r="J17" s="93" t="s">
        <v>228</v>
      </c>
      <c r="K17" s="96" t="s">
        <v>286</v>
      </c>
      <c r="L17" s="96"/>
      <c r="M17" s="96"/>
      <c r="N17" s="96"/>
      <c r="O17" s="96"/>
      <c r="P17" s="93"/>
      <c r="Q17" s="93"/>
      <c r="R17" s="93"/>
      <c r="S17" s="96" t="s">
        <v>354</v>
      </c>
      <c r="T17" s="93" t="s">
        <v>252</v>
      </c>
      <c r="U17" s="96"/>
      <c r="V17" s="97">
        <v>2</v>
      </c>
      <c r="W17" s="97">
        <v>1</v>
      </c>
      <c r="X17" s="97">
        <v>1</v>
      </c>
      <c r="Y17" s="97">
        <v>3</v>
      </c>
      <c r="Z17" s="97">
        <v>10</v>
      </c>
      <c r="AA17" s="97">
        <v>0</v>
      </c>
      <c r="AB17" s="96"/>
      <c r="AC17" s="96" t="s">
        <v>234</v>
      </c>
      <c r="AD17" s="96" t="s">
        <v>355</v>
      </c>
      <c r="AE17" s="6" t="s">
        <v>276</v>
      </c>
      <c r="AF17" s="96" t="s">
        <v>356</v>
      </c>
      <c r="AG17" s="93"/>
    </row>
    <row r="18" spans="1:33" ht="29.1">
      <c r="A18" s="93">
        <v>16</v>
      </c>
      <c r="B18" s="93" t="s">
        <v>66</v>
      </c>
      <c r="C18" s="93"/>
      <c r="D18" s="94" t="s">
        <v>50</v>
      </c>
      <c r="E18" s="94"/>
      <c r="F18" s="126" t="s">
        <v>357</v>
      </c>
      <c r="G18" s="95" t="s">
        <v>269</v>
      </c>
      <c r="H18" s="93" t="s">
        <v>226</v>
      </c>
      <c r="I18" s="96" t="s">
        <v>358</v>
      </c>
      <c r="J18" s="93" t="s">
        <v>228</v>
      </c>
      <c r="K18" s="96" t="s">
        <v>325</v>
      </c>
      <c r="L18" s="96"/>
      <c r="M18" s="96"/>
      <c r="N18" s="96"/>
      <c r="O18" s="96"/>
      <c r="P18" s="93"/>
      <c r="Q18" s="93"/>
      <c r="R18" s="93"/>
      <c r="S18" s="96" t="s">
        <v>359</v>
      </c>
      <c r="T18" s="93" t="s">
        <v>252</v>
      </c>
      <c r="U18" s="96" t="s">
        <v>360</v>
      </c>
      <c r="V18" s="97">
        <v>1</v>
      </c>
      <c r="W18" s="97">
        <v>1</v>
      </c>
      <c r="X18" s="97">
        <v>1</v>
      </c>
      <c r="Y18" s="97">
        <v>5</v>
      </c>
      <c r="Z18" s="97">
        <v>2</v>
      </c>
      <c r="AA18" s="97">
        <v>0</v>
      </c>
      <c r="AB18" s="96"/>
      <c r="AC18" s="96" t="s">
        <v>234</v>
      </c>
      <c r="AD18" s="96" t="s">
        <v>67</v>
      </c>
      <c r="AE18" s="6" t="s">
        <v>236</v>
      </c>
      <c r="AF18" s="96" t="s">
        <v>345</v>
      </c>
      <c r="AG18" s="93"/>
    </row>
    <row r="19" spans="1:33" ht="43.5">
      <c r="A19" s="93">
        <v>17</v>
      </c>
      <c r="B19" s="93" t="s">
        <v>102</v>
      </c>
      <c r="C19" s="93"/>
      <c r="D19" s="102" t="s">
        <v>361</v>
      </c>
      <c r="E19" s="94"/>
      <c r="F19" s="126" t="s">
        <v>362</v>
      </c>
      <c r="G19" s="95" t="s">
        <v>269</v>
      </c>
      <c r="H19" s="93" t="s">
        <v>226</v>
      </c>
      <c r="I19" s="96" t="s">
        <v>363</v>
      </c>
      <c r="J19" s="93" t="s">
        <v>228</v>
      </c>
      <c r="K19" s="96" t="s">
        <v>325</v>
      </c>
      <c r="L19" s="96"/>
      <c r="M19" s="96"/>
      <c r="N19" s="96"/>
      <c r="O19" s="96"/>
      <c r="P19" s="93"/>
      <c r="Q19" s="93"/>
      <c r="R19" s="93"/>
      <c r="S19" s="96" t="s">
        <v>364</v>
      </c>
      <c r="T19" s="93" t="s">
        <v>252</v>
      </c>
      <c r="U19" s="96" t="s">
        <v>365</v>
      </c>
      <c r="V19" s="97">
        <v>2</v>
      </c>
      <c r="W19" s="97">
        <v>1</v>
      </c>
      <c r="X19" s="97">
        <v>1</v>
      </c>
      <c r="Y19" s="97">
        <v>8</v>
      </c>
      <c r="Z19" s="97">
        <v>3</v>
      </c>
      <c r="AA19" s="97">
        <v>0</v>
      </c>
      <c r="AB19" s="96"/>
      <c r="AC19" s="96" t="s">
        <v>234</v>
      </c>
      <c r="AD19" s="96" t="s">
        <v>310</v>
      </c>
      <c r="AE19" s="6" t="s">
        <v>276</v>
      </c>
      <c r="AF19" s="96" t="s">
        <v>345</v>
      </c>
      <c r="AG19" s="93"/>
    </row>
    <row r="20" spans="1:33" ht="43.5">
      <c r="A20" s="93">
        <v>18</v>
      </c>
      <c r="B20" s="93" t="s">
        <v>83</v>
      </c>
      <c r="C20" s="93"/>
      <c r="D20" s="102" t="s">
        <v>361</v>
      </c>
      <c r="E20" s="94"/>
      <c r="F20" s="96" t="s">
        <v>366</v>
      </c>
      <c r="G20" s="96" t="s">
        <v>269</v>
      </c>
      <c r="H20" s="93" t="s">
        <v>292</v>
      </c>
      <c r="I20" s="96" t="s">
        <v>367</v>
      </c>
      <c r="J20" s="93" t="s">
        <v>228</v>
      </c>
      <c r="K20" s="96" t="s">
        <v>325</v>
      </c>
      <c r="L20" s="96"/>
      <c r="M20" s="96"/>
      <c r="N20" s="96"/>
      <c r="O20" s="96"/>
      <c r="P20" s="93"/>
      <c r="Q20" s="93"/>
      <c r="R20" s="93"/>
      <c r="S20" s="96" t="s">
        <v>368</v>
      </c>
      <c r="T20" s="93" t="s">
        <v>252</v>
      </c>
      <c r="U20" s="96" t="s">
        <v>369</v>
      </c>
      <c r="V20" s="97">
        <v>2</v>
      </c>
      <c r="W20" s="97">
        <v>1</v>
      </c>
      <c r="X20" s="97">
        <v>1</v>
      </c>
      <c r="Y20" s="97">
        <v>3</v>
      </c>
      <c r="Z20" s="97">
        <v>2</v>
      </c>
      <c r="AA20" s="97">
        <v>0</v>
      </c>
      <c r="AB20" s="96"/>
      <c r="AC20" s="96" t="s">
        <v>234</v>
      </c>
      <c r="AD20" s="96" t="s">
        <v>310</v>
      </c>
      <c r="AE20" s="6" t="s">
        <v>298</v>
      </c>
      <c r="AF20" s="96" t="s">
        <v>370</v>
      </c>
      <c r="AG20" s="93"/>
    </row>
    <row r="21" spans="1:33" ht="57.95">
      <c r="A21" s="93">
        <v>19</v>
      </c>
      <c r="B21" s="93" t="s">
        <v>98</v>
      </c>
      <c r="C21" s="93"/>
      <c r="D21" s="94" t="s">
        <v>361</v>
      </c>
      <c r="E21" s="94"/>
      <c r="F21" s="96" t="s">
        <v>371</v>
      </c>
      <c r="G21" s="96" t="s">
        <v>302</v>
      </c>
      <c r="H21" s="93" t="s">
        <v>372</v>
      </c>
      <c r="I21" s="96" t="s">
        <v>373</v>
      </c>
      <c r="J21" s="93" t="s">
        <v>304</v>
      </c>
      <c r="K21" s="96" t="s">
        <v>325</v>
      </c>
      <c r="L21" s="96"/>
      <c r="M21" s="96"/>
      <c r="N21" s="96"/>
      <c r="O21" s="96"/>
      <c r="P21" s="93"/>
      <c r="Q21" s="93"/>
      <c r="R21" s="93"/>
      <c r="S21" s="96" t="s">
        <v>374</v>
      </c>
      <c r="T21" s="93" t="s">
        <v>252</v>
      </c>
      <c r="U21" s="96" t="s">
        <v>375</v>
      </c>
      <c r="V21" s="97">
        <v>4</v>
      </c>
      <c r="W21" s="97">
        <v>1</v>
      </c>
      <c r="X21" s="97">
        <v>1</v>
      </c>
      <c r="Y21" s="97">
        <v>8</v>
      </c>
      <c r="Z21" s="97">
        <v>3</v>
      </c>
      <c r="AA21" s="97">
        <v>3</v>
      </c>
      <c r="AB21" s="96"/>
      <c r="AC21" s="96" t="s">
        <v>234</v>
      </c>
      <c r="AD21" s="96" t="s">
        <v>310</v>
      </c>
      <c r="AE21" s="6" t="s">
        <v>376</v>
      </c>
      <c r="AF21" s="96" t="s">
        <v>377</v>
      </c>
      <c r="AG21" s="93"/>
    </row>
    <row r="22" spans="1:33" ht="43.5">
      <c r="A22" s="93">
        <v>20</v>
      </c>
      <c r="B22" s="93" t="s">
        <v>93</v>
      </c>
      <c r="C22" s="93"/>
      <c r="D22" s="94" t="s">
        <v>61</v>
      </c>
      <c r="E22" s="94"/>
      <c r="F22" s="126" t="s">
        <v>378</v>
      </c>
      <c r="G22" s="95" t="s">
        <v>331</v>
      </c>
      <c r="H22" s="93" t="s">
        <v>226</v>
      </c>
      <c r="I22" s="96" t="s">
        <v>379</v>
      </c>
      <c r="J22" s="93" t="s">
        <v>304</v>
      </c>
      <c r="K22" s="96" t="s">
        <v>325</v>
      </c>
      <c r="L22" s="96"/>
      <c r="M22" s="96"/>
      <c r="N22" s="96"/>
      <c r="O22" s="96"/>
      <c r="P22" s="93"/>
      <c r="Q22" s="93"/>
      <c r="R22" s="93"/>
      <c r="S22" s="96" t="s">
        <v>380</v>
      </c>
      <c r="T22" s="93" t="s">
        <v>252</v>
      </c>
      <c r="U22" s="96" t="s">
        <v>381</v>
      </c>
      <c r="V22" s="97">
        <v>4</v>
      </c>
      <c r="W22" s="97">
        <v>1</v>
      </c>
      <c r="X22" s="97">
        <v>1</v>
      </c>
      <c r="Y22" s="97">
        <v>5</v>
      </c>
      <c r="Z22" s="97">
        <v>1</v>
      </c>
      <c r="AA22" s="97">
        <v>0</v>
      </c>
      <c r="AB22" s="96"/>
      <c r="AC22" s="96" t="s">
        <v>234</v>
      </c>
      <c r="AD22" s="96" t="s">
        <v>71</v>
      </c>
      <c r="AE22" s="6" t="s">
        <v>276</v>
      </c>
      <c r="AF22" s="96" t="s">
        <v>382</v>
      </c>
      <c r="AG22" s="93"/>
    </row>
    <row r="23" spans="1:33" ht="43.5">
      <c r="A23" s="93">
        <v>21</v>
      </c>
      <c r="B23" s="93" t="s">
        <v>100</v>
      </c>
      <c r="C23" s="93"/>
      <c r="D23" s="94" t="s">
        <v>322</v>
      </c>
      <c r="E23" s="94" t="s">
        <v>51</v>
      </c>
      <c r="F23" s="126" t="s">
        <v>383</v>
      </c>
      <c r="G23" s="95" t="s">
        <v>331</v>
      </c>
      <c r="H23" s="93" t="s">
        <v>332</v>
      </c>
      <c r="I23" s="96" t="s">
        <v>384</v>
      </c>
      <c r="J23" s="93" t="s">
        <v>304</v>
      </c>
      <c r="K23" s="96" t="s">
        <v>325</v>
      </c>
      <c r="L23" s="96"/>
      <c r="M23" s="96"/>
      <c r="N23" s="96"/>
      <c r="O23" s="96"/>
      <c r="P23" s="93"/>
      <c r="Q23" s="93"/>
      <c r="R23" s="93"/>
      <c r="S23" s="96" t="s">
        <v>385</v>
      </c>
      <c r="T23" s="93" t="s">
        <v>252</v>
      </c>
      <c r="U23" s="96" t="s">
        <v>386</v>
      </c>
      <c r="V23" s="97">
        <v>3</v>
      </c>
      <c r="W23" s="97">
        <v>1</v>
      </c>
      <c r="X23" s="97">
        <v>1</v>
      </c>
      <c r="Y23" s="97">
        <v>6</v>
      </c>
      <c r="Z23" s="97">
        <v>3</v>
      </c>
      <c r="AA23" s="97">
        <v>3</v>
      </c>
      <c r="AB23" s="96"/>
      <c r="AC23" s="96" t="s">
        <v>234</v>
      </c>
      <c r="AD23" s="96" t="s">
        <v>328</v>
      </c>
      <c r="AE23" s="6" t="s">
        <v>276</v>
      </c>
      <c r="AF23" s="96" t="s">
        <v>387</v>
      </c>
      <c r="AG23" s="93"/>
    </row>
    <row r="24" spans="1:33" s="114" customFormat="1" ht="43.5">
      <c r="A24" s="98">
        <v>22</v>
      </c>
      <c r="B24" s="98" t="s">
        <v>95</v>
      </c>
      <c r="C24" s="98"/>
      <c r="D24" s="98" t="s">
        <v>61</v>
      </c>
      <c r="E24" s="98" t="s">
        <v>51</v>
      </c>
      <c r="F24" s="127" t="s">
        <v>388</v>
      </c>
      <c r="G24" s="98" t="s">
        <v>389</v>
      </c>
      <c r="H24" s="98" t="s">
        <v>372</v>
      </c>
      <c r="I24" s="99" t="s">
        <v>390</v>
      </c>
      <c r="J24" s="98" t="s">
        <v>304</v>
      </c>
      <c r="K24" s="99" t="s">
        <v>325</v>
      </c>
      <c r="L24" s="99"/>
      <c r="M24" s="99"/>
      <c r="N24" s="99"/>
      <c r="O24" s="99"/>
      <c r="P24" s="98"/>
      <c r="Q24" s="98"/>
      <c r="R24" s="98"/>
      <c r="S24" s="99" t="s">
        <v>391</v>
      </c>
      <c r="T24" s="98" t="s">
        <v>252</v>
      </c>
      <c r="U24" s="99"/>
      <c r="V24" s="100">
        <v>3</v>
      </c>
      <c r="W24" s="100">
        <v>1</v>
      </c>
      <c r="X24" s="100">
        <v>2</v>
      </c>
      <c r="Y24" s="100">
        <v>5</v>
      </c>
      <c r="Z24" s="100">
        <v>8</v>
      </c>
      <c r="AA24" s="100">
        <v>1</v>
      </c>
      <c r="AB24" s="99"/>
      <c r="AC24" s="99" t="s">
        <v>234</v>
      </c>
      <c r="AD24" s="99" t="s">
        <v>392</v>
      </c>
      <c r="AE24" s="101" t="s">
        <v>254</v>
      </c>
      <c r="AF24" s="99" t="s">
        <v>393</v>
      </c>
      <c r="AG24" s="98"/>
    </row>
    <row r="25" spans="1:33" s="120" customFormat="1" ht="29.1">
      <c r="A25" s="115">
        <v>23</v>
      </c>
      <c r="B25" s="115" t="s">
        <v>394</v>
      </c>
      <c r="C25" s="115"/>
      <c r="D25" s="103" t="s">
        <v>50</v>
      </c>
      <c r="E25" s="103" t="s">
        <v>51</v>
      </c>
      <c r="F25" s="128" t="s">
        <v>395</v>
      </c>
      <c r="G25" s="116" t="s">
        <v>396</v>
      </c>
      <c r="H25" s="115"/>
      <c r="I25" s="117" t="s">
        <v>397</v>
      </c>
      <c r="J25" s="115" t="s">
        <v>304</v>
      </c>
      <c r="K25" s="117"/>
      <c r="L25" s="117"/>
      <c r="M25" s="117"/>
      <c r="N25" s="117"/>
      <c r="O25" s="117"/>
      <c r="P25" s="115"/>
      <c r="Q25" s="115"/>
      <c r="R25" s="115"/>
      <c r="S25" s="117" t="s">
        <v>398</v>
      </c>
      <c r="T25" s="115"/>
      <c r="U25" s="117"/>
      <c r="V25" s="118">
        <v>1</v>
      </c>
      <c r="W25" s="118"/>
      <c r="X25" s="118"/>
      <c r="Y25" s="118"/>
      <c r="Z25" s="118"/>
      <c r="AA25" s="118"/>
      <c r="AB25" s="117"/>
      <c r="AC25" s="117"/>
      <c r="AD25" s="117" t="s">
        <v>392</v>
      </c>
      <c r="AE25" s="119"/>
      <c r="AF25" s="117"/>
      <c r="AG25" s="115"/>
    </row>
    <row r="26" spans="1:33" s="120" customFormat="1" ht="57.95">
      <c r="A26" s="115">
        <v>24</v>
      </c>
      <c r="B26" s="115" t="s">
        <v>399</v>
      </c>
      <c r="C26" s="115"/>
      <c r="D26" s="103" t="s">
        <v>50</v>
      </c>
      <c r="E26" s="103" t="s">
        <v>51</v>
      </c>
      <c r="F26" s="117" t="s">
        <v>400</v>
      </c>
      <c r="G26" s="117"/>
      <c r="H26" s="115" t="s">
        <v>401</v>
      </c>
      <c r="I26" s="117"/>
      <c r="J26" s="115"/>
      <c r="K26" s="117"/>
      <c r="L26" s="117"/>
      <c r="M26" s="117"/>
      <c r="N26" s="117"/>
      <c r="O26" s="117"/>
      <c r="P26" s="115"/>
      <c r="Q26" s="115"/>
      <c r="R26" s="115"/>
      <c r="S26" s="117"/>
      <c r="T26" s="115"/>
      <c r="U26" s="117"/>
      <c r="V26" s="118"/>
      <c r="W26" s="118"/>
      <c r="X26" s="118"/>
      <c r="Y26" s="118"/>
      <c r="Z26" s="118"/>
      <c r="AA26" s="118"/>
      <c r="AB26" s="117"/>
      <c r="AC26" s="117"/>
      <c r="AD26" s="117"/>
      <c r="AE26" s="119"/>
      <c r="AF26" s="117"/>
      <c r="AG26" s="115"/>
    </row>
    <row r="27" spans="1:33" s="124" customFormat="1" ht="57.95">
      <c r="A27" s="121">
        <v>25</v>
      </c>
      <c r="B27" s="121" t="s">
        <v>402</v>
      </c>
      <c r="C27" s="121"/>
      <c r="D27" s="104" t="s">
        <v>61</v>
      </c>
      <c r="E27" s="104" t="s">
        <v>51</v>
      </c>
      <c r="F27" s="122" t="s">
        <v>403</v>
      </c>
      <c r="G27" s="122"/>
      <c r="H27" s="121" t="s">
        <v>401</v>
      </c>
      <c r="I27" s="122"/>
      <c r="J27" s="121"/>
      <c r="K27" s="122"/>
      <c r="L27" s="122"/>
      <c r="M27" s="122"/>
      <c r="N27" s="122"/>
      <c r="O27" s="122"/>
      <c r="P27" s="121"/>
      <c r="Q27" s="121"/>
      <c r="R27" s="121"/>
      <c r="S27" s="122"/>
      <c r="T27" s="121"/>
      <c r="U27" s="122"/>
      <c r="V27" s="123"/>
      <c r="W27" s="123"/>
      <c r="X27" s="123"/>
      <c r="Y27" s="123"/>
      <c r="Z27" s="123"/>
      <c r="AA27" s="123"/>
      <c r="AB27" s="122"/>
      <c r="AC27" s="122"/>
      <c r="AD27" s="122"/>
      <c r="AE27" s="68"/>
      <c r="AF27" s="122"/>
      <c r="AG27" s="121"/>
    </row>
    <row r="28" spans="1:33" s="124" customFormat="1">
      <c r="A28" s="121">
        <v>26</v>
      </c>
      <c r="B28" s="121" t="s">
        <v>404</v>
      </c>
      <c r="C28" s="121"/>
      <c r="D28" s="104" t="s">
        <v>61</v>
      </c>
      <c r="E28" s="104" t="s">
        <v>51</v>
      </c>
      <c r="F28" s="129" t="s">
        <v>405</v>
      </c>
      <c r="G28" s="125"/>
      <c r="H28" s="121" t="s">
        <v>406</v>
      </c>
      <c r="I28" s="122"/>
      <c r="J28" s="121"/>
      <c r="K28" s="122"/>
      <c r="L28" s="122"/>
      <c r="M28" s="122"/>
      <c r="N28" s="122"/>
      <c r="O28" s="122"/>
      <c r="P28" s="121"/>
      <c r="Q28" s="121"/>
      <c r="R28" s="121"/>
      <c r="S28" s="122"/>
      <c r="T28" s="121"/>
      <c r="U28" s="122"/>
      <c r="V28" s="123"/>
      <c r="W28" s="123"/>
      <c r="X28" s="123"/>
      <c r="Y28" s="123"/>
      <c r="Z28" s="123"/>
      <c r="AA28" s="123"/>
      <c r="AB28" s="122"/>
      <c r="AC28" s="122"/>
      <c r="AD28" s="122"/>
      <c r="AE28" s="68"/>
      <c r="AF28" s="122"/>
      <c r="AG28" s="121"/>
    </row>
    <row r="29" spans="1:33" s="124" customFormat="1" ht="29.1">
      <c r="A29" s="121">
        <v>27</v>
      </c>
      <c r="B29" s="121" t="s">
        <v>407</v>
      </c>
      <c r="C29" s="121"/>
      <c r="D29" s="104" t="s">
        <v>50</v>
      </c>
      <c r="E29" s="104" t="s">
        <v>51</v>
      </c>
      <c r="F29" s="129" t="s">
        <v>408</v>
      </c>
      <c r="G29" s="125"/>
      <c r="H29" s="121" t="s">
        <v>406</v>
      </c>
      <c r="I29" s="122"/>
      <c r="J29" s="121"/>
      <c r="K29" s="122"/>
      <c r="L29" s="122"/>
      <c r="M29" s="122"/>
      <c r="N29" s="122"/>
      <c r="O29" s="122"/>
      <c r="P29" s="121"/>
      <c r="Q29" s="121"/>
      <c r="R29" s="121"/>
      <c r="S29" s="122"/>
      <c r="T29" s="121"/>
      <c r="U29" s="122"/>
      <c r="V29" s="123"/>
      <c r="W29" s="123"/>
      <c r="X29" s="123"/>
      <c r="Y29" s="123"/>
      <c r="Z29" s="123"/>
      <c r="AA29" s="123"/>
      <c r="AB29" s="122"/>
      <c r="AC29" s="122"/>
      <c r="AD29" s="122"/>
      <c r="AE29" s="68"/>
      <c r="AF29" s="122"/>
      <c r="AG29" s="121"/>
    </row>
    <row r="30" spans="1:33" s="124" customFormat="1" ht="87">
      <c r="A30" s="121">
        <v>28</v>
      </c>
      <c r="B30" s="121" t="s">
        <v>409</v>
      </c>
      <c r="C30" s="121"/>
      <c r="D30" s="104" t="s">
        <v>61</v>
      </c>
      <c r="E30" s="104" t="s">
        <v>51</v>
      </c>
      <c r="F30" s="122" t="s">
        <v>410</v>
      </c>
      <c r="G30" s="122" t="s">
        <v>302</v>
      </c>
      <c r="H30" s="121" t="s">
        <v>292</v>
      </c>
      <c r="I30" s="122" t="s">
        <v>411</v>
      </c>
      <c r="J30" s="121" t="s">
        <v>412</v>
      </c>
      <c r="K30" s="122" t="s">
        <v>325</v>
      </c>
      <c r="L30" s="122"/>
      <c r="M30" s="122"/>
      <c r="N30" s="122"/>
      <c r="O30" s="122"/>
      <c r="P30" s="121"/>
      <c r="Q30" s="121"/>
      <c r="R30" s="121"/>
      <c r="S30" s="122" t="s">
        <v>413</v>
      </c>
      <c r="T30" s="121" t="s">
        <v>252</v>
      </c>
      <c r="U30" s="122" t="s">
        <v>414</v>
      </c>
      <c r="V30" s="123">
        <v>2</v>
      </c>
      <c r="W30" s="123">
        <v>1</v>
      </c>
      <c r="X30" s="123">
        <v>1</v>
      </c>
      <c r="Y30" s="123">
        <v>7</v>
      </c>
      <c r="Z30" s="123"/>
      <c r="AA30" s="123"/>
      <c r="AB30" s="122"/>
      <c r="AC30" s="122" t="s">
        <v>234</v>
      </c>
      <c r="AD30" s="122" t="s">
        <v>415</v>
      </c>
      <c r="AE30" s="68" t="s">
        <v>298</v>
      </c>
      <c r="AF30" s="122" t="s">
        <v>416</v>
      </c>
      <c r="AG30" s="121"/>
    </row>
    <row r="31" spans="1:33" s="124" customFormat="1" ht="29.1">
      <c r="A31" s="121">
        <v>29</v>
      </c>
      <c r="B31" s="121" t="s">
        <v>417</v>
      </c>
      <c r="C31" s="121"/>
      <c r="D31" s="104" t="s">
        <v>50</v>
      </c>
      <c r="E31" s="104" t="s">
        <v>51</v>
      </c>
      <c r="F31" s="129" t="s">
        <v>339</v>
      </c>
      <c r="G31" s="125" t="s">
        <v>418</v>
      </c>
      <c r="H31" s="121"/>
      <c r="I31" s="122" t="s">
        <v>419</v>
      </c>
      <c r="J31" s="121"/>
      <c r="K31" s="122"/>
      <c r="L31" s="122"/>
      <c r="M31" s="122"/>
      <c r="N31" s="122"/>
      <c r="O31" s="122"/>
      <c r="P31" s="121"/>
      <c r="Q31" s="121"/>
      <c r="R31" s="121"/>
      <c r="S31" s="122"/>
      <c r="T31" s="121"/>
      <c r="U31" s="122"/>
      <c r="V31" s="123"/>
      <c r="W31" s="123"/>
      <c r="X31" s="123"/>
      <c r="Y31" s="123"/>
      <c r="Z31" s="123"/>
      <c r="AA31" s="123"/>
      <c r="AB31" s="122"/>
      <c r="AC31" s="122"/>
      <c r="AD31" s="122"/>
      <c r="AE31" s="68"/>
      <c r="AF31" s="122"/>
      <c r="AG31" s="121"/>
    </row>
  </sheetData>
  <mergeCells count="17">
    <mergeCell ref="T1:T2"/>
    <mergeCell ref="U1:U2"/>
    <mergeCell ref="V1:AC1"/>
    <mergeCell ref="AE1:AF1"/>
    <mergeCell ref="AG1:AG2"/>
    <mergeCell ref="S1:S2"/>
    <mergeCell ref="A1:A2"/>
    <mergeCell ref="B1:B2"/>
    <mergeCell ref="C1:C2"/>
    <mergeCell ref="D1:D2"/>
    <mergeCell ref="E1:E2"/>
    <mergeCell ref="F1:F2"/>
    <mergeCell ref="G1:G2"/>
    <mergeCell ref="H1:H2"/>
    <mergeCell ref="I1:I2"/>
    <mergeCell ref="J1:J2"/>
    <mergeCell ref="K1:R1"/>
  </mergeCells>
  <hyperlinks>
    <hyperlink ref="F15" r:id="rId1" xr:uid="{73BA6E0C-4544-4048-AC37-899519368F6E}"/>
    <hyperlink ref="F17" r:id="rId2" xr:uid="{A1621364-C8E5-4301-87D3-893B889B6FC8}"/>
    <hyperlink ref="F18" r:id="rId3" xr:uid="{61134B28-E1D5-4053-A67A-7835578667FA}"/>
    <hyperlink ref="F22" r:id="rId4" xr:uid="{775FA5C2-ECAA-47E3-A7E3-7DE5464D6BFB}"/>
    <hyperlink ref="F31" r:id="rId5" xr:uid="{AFB45C30-920B-48E2-8D94-FF2D8F8EA784}"/>
    <hyperlink ref="F25" r:id="rId6" xr:uid="{3409A3B4-D578-4F1D-831E-636189549B11}"/>
    <hyperlink ref="F5" r:id="rId7" xr:uid="{CC228F1C-7147-4614-8200-128CD0E3E6F5}"/>
    <hyperlink ref="F14" r:id="rId8" xr:uid="{C0FE4F67-D596-4FBB-9E0E-384D02074F43}"/>
    <hyperlink ref="F23" r:id="rId9" xr:uid="{C55C68EF-508A-4FBE-B3D5-405FF62AFA98}"/>
    <hyperlink ref="F28" r:id="rId10" xr:uid="{CE232A33-92E9-45D2-91B7-C34EA248495C}"/>
    <hyperlink ref="F29" r:id="rId11" location="Scheduler-run-for---Chevin-Fleetwave-SFTP-to-Swift6%3A" xr:uid="{C9E9B28A-F8F4-456A-AEC5-DCA87A9752AE}"/>
    <hyperlink ref="F19" r:id="rId12" xr:uid="{05032859-B0C5-4A05-BBF5-DD6541A1870C}"/>
    <hyperlink ref="AG10" r:id="rId13" display="https://starkuk.atlassian.net/wiki/spaces/INTEGRATIO/pages/2645819465/Stories+and+Test+Cases+-+relex-sapi+-+ITAX-2727" xr:uid="{39580A73-88EC-4454-8E76-13C7F1C85538}"/>
    <hyperlink ref="F24" r:id="rId14" display="https://starkuk.atlassian.net/wiki/spaces/INTEGRATIO/pages/4339793928/Redflag+APIs+Integration?xpis=eyJicmlkZ2UiOiJxdWlja0ZpbmQiLCJpZCI6IjE3ODg3Njk0NDkyNjgiLCJzb3VyY2UiOiJjb25mbHVlbmNlIn0%3D" xr:uid="{A0D57AFD-DDCB-45EC-AD66-994C4FDA13AF}"/>
    <hyperlink ref="F8" r:id="rId15" xr:uid="{47FAF8ED-036F-448A-BBE4-EDA2DA439DE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8A992-1C5D-4532-BEFA-D4E66476A67F}">
  <dimension ref="B2:I34"/>
  <sheetViews>
    <sheetView zoomScale="120" zoomScaleNormal="120" workbookViewId="0">
      <selection activeCell="D31" sqref="D31"/>
    </sheetView>
  </sheetViews>
  <sheetFormatPr defaultRowHeight="14.45"/>
  <cols>
    <col min="2" max="2" width="2.85546875" bestFit="1" customWidth="1"/>
    <col min="3" max="3" width="6.42578125" bestFit="1" customWidth="1"/>
    <col min="4" max="4" width="26.140625" bestFit="1" customWidth="1"/>
    <col min="5" max="5" width="8.5703125" bestFit="1" customWidth="1"/>
    <col min="6" max="6" width="43.85546875" customWidth="1"/>
    <col min="7" max="7" width="25.85546875" customWidth="1"/>
    <col min="8" max="8" width="30.5703125" customWidth="1"/>
    <col min="9" max="9" width="9.7109375" bestFit="1" customWidth="1"/>
    <col min="16" max="16" width="63" bestFit="1" customWidth="1"/>
    <col min="17" max="17" width="53.140625" bestFit="1" customWidth="1"/>
  </cols>
  <sheetData>
    <row r="2" spans="2:9">
      <c r="B2" s="159" t="s">
        <v>22</v>
      </c>
      <c r="C2" s="159" t="s">
        <v>420</v>
      </c>
      <c r="D2" s="159" t="s">
        <v>23</v>
      </c>
      <c r="E2" s="159" t="s">
        <v>178</v>
      </c>
      <c r="F2" s="159" t="s">
        <v>133</v>
      </c>
      <c r="G2" s="159" t="s">
        <v>421</v>
      </c>
      <c r="H2" s="159" t="s">
        <v>136</v>
      </c>
      <c r="I2" s="159" t="s">
        <v>422</v>
      </c>
    </row>
    <row r="3" spans="2:9" ht="29.1">
      <c r="B3" s="2">
        <v>1</v>
      </c>
      <c r="C3" s="160">
        <v>46282</v>
      </c>
      <c r="D3" s="2" t="s">
        <v>423</v>
      </c>
      <c r="E3" s="2" t="s">
        <v>55</v>
      </c>
      <c r="F3" s="83" t="s">
        <v>424</v>
      </c>
      <c r="G3" s="83" t="s">
        <v>425</v>
      </c>
      <c r="H3" s="83" t="s">
        <v>426</v>
      </c>
      <c r="I3" s="2" t="s">
        <v>427</v>
      </c>
    </row>
    <row r="4" spans="2:9" ht="62.1" customHeight="1">
      <c r="B4" s="2">
        <v>2</v>
      </c>
      <c r="C4" s="160">
        <v>46282</v>
      </c>
      <c r="D4" s="83" t="s">
        <v>428</v>
      </c>
      <c r="E4" s="2" t="s">
        <v>81</v>
      </c>
      <c r="F4" s="167" t="s">
        <v>429</v>
      </c>
      <c r="G4" s="167" t="s">
        <v>430</v>
      </c>
      <c r="H4" s="83" t="s">
        <v>431</v>
      </c>
      <c r="I4" s="2" t="s">
        <v>427</v>
      </c>
    </row>
    <row r="5" spans="2:9" ht="57.95">
      <c r="B5" s="2">
        <v>3</v>
      </c>
      <c r="C5" s="160">
        <v>46283</v>
      </c>
      <c r="D5" s="83" t="s">
        <v>428</v>
      </c>
      <c r="E5" s="2" t="s">
        <v>81</v>
      </c>
      <c r="F5" s="83" t="s">
        <v>432</v>
      </c>
      <c r="G5" s="83" t="s">
        <v>433</v>
      </c>
      <c r="H5" s="83" t="s">
        <v>434</v>
      </c>
      <c r="I5" s="2" t="s">
        <v>427</v>
      </c>
    </row>
    <row r="6" spans="2:9">
      <c r="B6" s="2">
        <v>4</v>
      </c>
      <c r="C6" s="2"/>
      <c r="D6" s="2"/>
      <c r="E6" s="2"/>
      <c r="F6" s="83"/>
      <c r="G6" s="83"/>
      <c r="H6" s="83"/>
      <c r="I6" s="2"/>
    </row>
    <row r="7" spans="2:9">
      <c r="B7" s="2">
        <v>5</v>
      </c>
      <c r="C7" s="2"/>
      <c r="D7" s="2"/>
      <c r="E7" s="2"/>
      <c r="F7" s="83"/>
      <c r="G7" s="83"/>
      <c r="H7" s="83"/>
      <c r="I7" s="2"/>
    </row>
    <row r="8" spans="2:9">
      <c r="B8" s="2">
        <v>6</v>
      </c>
      <c r="C8" s="2"/>
      <c r="D8" s="2"/>
      <c r="E8" s="2"/>
      <c r="F8" s="83"/>
      <c r="G8" s="83"/>
      <c r="H8" s="83"/>
      <c r="I8" s="2"/>
    </row>
    <row r="9" spans="2:9">
      <c r="B9" s="2">
        <v>7</v>
      </c>
      <c r="C9" s="2"/>
      <c r="D9" s="2"/>
      <c r="E9" s="2"/>
      <c r="F9" s="83"/>
      <c r="G9" s="83"/>
      <c r="H9" s="83"/>
      <c r="I9" s="2"/>
    </row>
    <row r="10" spans="2:9">
      <c r="B10" s="2">
        <v>8</v>
      </c>
      <c r="C10" s="2"/>
      <c r="D10" s="2"/>
      <c r="E10" s="2"/>
      <c r="F10" s="83"/>
      <c r="G10" s="83"/>
      <c r="H10" s="83"/>
      <c r="I10" s="2"/>
    </row>
    <row r="11" spans="2:9">
      <c r="B11" s="2">
        <v>9</v>
      </c>
      <c r="C11" s="2"/>
      <c r="D11" s="2"/>
      <c r="E11" s="2"/>
      <c r="F11" s="83"/>
      <c r="G11" s="83"/>
      <c r="H11" s="83"/>
      <c r="I11" s="2"/>
    </row>
    <row r="12" spans="2:9">
      <c r="B12" s="2">
        <v>10</v>
      </c>
      <c r="C12" s="2"/>
      <c r="D12" s="2"/>
      <c r="E12" s="2"/>
      <c r="F12" s="83"/>
      <c r="G12" s="83"/>
      <c r="H12" s="83"/>
      <c r="I12" s="2"/>
    </row>
    <row r="13" spans="2:9">
      <c r="B13" s="2"/>
      <c r="C13" s="2"/>
      <c r="D13" s="2"/>
      <c r="E13" s="2"/>
      <c r="F13" s="83"/>
      <c r="G13" s="83"/>
      <c r="H13" s="83"/>
      <c r="I13" s="2"/>
    </row>
    <row r="14" spans="2:9">
      <c r="B14" s="2"/>
      <c r="C14" s="2"/>
      <c r="D14" s="2"/>
      <c r="E14" s="2"/>
      <c r="F14" s="83"/>
      <c r="G14" s="83"/>
      <c r="H14" s="83"/>
      <c r="I14" s="2"/>
    </row>
    <row r="15" spans="2:9">
      <c r="B15" s="2"/>
      <c r="C15" s="2"/>
      <c r="D15" s="2"/>
      <c r="E15" s="2"/>
      <c r="F15" s="83"/>
      <c r="G15" s="83"/>
      <c r="H15" s="83"/>
      <c r="I15" s="2"/>
    </row>
    <row r="16" spans="2:9">
      <c r="B16" s="2"/>
      <c r="C16" s="2"/>
      <c r="D16" s="2"/>
      <c r="E16" s="2"/>
      <c r="F16" s="83"/>
      <c r="G16" s="83"/>
      <c r="H16" s="83"/>
      <c r="I16" s="2"/>
    </row>
    <row r="17" spans="2:9">
      <c r="B17" s="2"/>
      <c r="C17" s="2"/>
      <c r="D17" s="2"/>
      <c r="E17" s="2"/>
      <c r="F17" s="83"/>
      <c r="G17" s="83"/>
      <c r="H17" s="83"/>
      <c r="I17" s="2"/>
    </row>
    <row r="18" spans="2:9">
      <c r="B18" s="2"/>
      <c r="C18" s="2"/>
      <c r="D18" s="2"/>
      <c r="E18" s="2"/>
      <c r="F18" s="83"/>
      <c r="G18" s="83"/>
      <c r="H18" s="83"/>
      <c r="I18" s="2"/>
    </row>
    <row r="19" spans="2:9">
      <c r="B19" s="2"/>
      <c r="C19" s="2"/>
      <c r="D19" s="2"/>
      <c r="E19" s="2"/>
      <c r="F19" s="83"/>
      <c r="G19" s="83"/>
      <c r="H19" s="83"/>
      <c r="I19" s="2"/>
    </row>
    <row r="20" spans="2:9">
      <c r="B20" s="2"/>
      <c r="C20" s="2"/>
      <c r="D20" s="2"/>
      <c r="E20" s="2"/>
      <c r="F20" s="83"/>
      <c r="G20" s="83"/>
      <c r="H20" s="83"/>
      <c r="I20" s="2"/>
    </row>
    <row r="21" spans="2:9">
      <c r="B21" s="2"/>
      <c r="C21" s="2"/>
      <c r="D21" s="2"/>
      <c r="E21" s="2"/>
      <c r="F21" s="83"/>
      <c r="G21" s="83"/>
      <c r="H21" s="83"/>
      <c r="I21" s="2"/>
    </row>
    <row r="22" spans="2:9">
      <c r="B22" s="2"/>
      <c r="C22" s="2"/>
      <c r="D22" s="2"/>
      <c r="E22" s="2"/>
      <c r="F22" s="83"/>
      <c r="G22" s="83"/>
      <c r="H22" s="83"/>
      <c r="I22" s="2"/>
    </row>
    <row r="23" spans="2:9">
      <c r="B23" s="2"/>
      <c r="C23" s="2"/>
      <c r="D23" s="2"/>
      <c r="E23" s="2"/>
      <c r="F23" s="83"/>
      <c r="G23" s="83"/>
      <c r="H23" s="83"/>
      <c r="I23" s="2"/>
    </row>
    <row r="24" spans="2:9">
      <c r="B24" s="2"/>
      <c r="C24" s="2"/>
      <c r="D24" s="2"/>
      <c r="E24" s="2"/>
      <c r="F24" s="83"/>
      <c r="G24" s="83"/>
      <c r="H24" s="83"/>
      <c r="I24" s="2"/>
    </row>
    <row r="25" spans="2:9">
      <c r="B25" s="2"/>
      <c r="C25" s="2"/>
      <c r="D25" s="2"/>
      <c r="E25" s="2"/>
      <c r="F25" s="83"/>
      <c r="G25" s="83"/>
      <c r="H25" s="83"/>
      <c r="I25" s="2"/>
    </row>
    <row r="26" spans="2:9">
      <c r="B26" s="2"/>
      <c r="C26" s="2"/>
      <c r="D26" s="2"/>
      <c r="E26" s="2"/>
      <c r="F26" s="83"/>
      <c r="G26" s="83"/>
      <c r="H26" s="83"/>
      <c r="I26" s="2"/>
    </row>
    <row r="27" spans="2:9">
      <c r="B27" s="2"/>
      <c r="C27" s="2"/>
      <c r="D27" s="2"/>
      <c r="E27" s="2"/>
      <c r="F27" s="83"/>
      <c r="G27" s="83"/>
      <c r="H27" s="83"/>
      <c r="I27" s="2"/>
    </row>
    <row r="28" spans="2:9">
      <c r="B28" s="2"/>
      <c r="C28" s="2"/>
      <c r="D28" s="2"/>
      <c r="E28" s="2"/>
      <c r="F28" s="83"/>
      <c r="G28" s="83"/>
      <c r="H28" s="83"/>
      <c r="I28" s="2"/>
    </row>
    <row r="29" spans="2:9">
      <c r="B29" s="2"/>
      <c r="C29" s="2"/>
      <c r="D29" s="2"/>
      <c r="E29" s="2"/>
      <c r="F29" s="83"/>
      <c r="G29" s="83"/>
      <c r="H29" s="83"/>
      <c r="I29" s="2"/>
    </row>
    <row r="30" spans="2:9">
      <c r="B30" s="2"/>
      <c r="C30" s="2"/>
      <c r="D30" s="2"/>
      <c r="E30" s="2"/>
      <c r="F30" s="83"/>
      <c r="G30" s="83"/>
      <c r="H30" s="83"/>
      <c r="I30" s="2"/>
    </row>
    <row r="31" spans="2:9">
      <c r="B31" s="2"/>
      <c r="C31" s="2"/>
      <c r="D31" s="2"/>
      <c r="E31" s="2"/>
      <c r="F31" s="83"/>
      <c r="G31" s="83"/>
      <c r="H31" s="83"/>
      <c r="I31" s="2"/>
    </row>
    <row r="32" spans="2:9">
      <c r="B32" s="2"/>
      <c r="C32" s="2"/>
      <c r="D32" s="2"/>
      <c r="E32" s="2"/>
      <c r="F32" s="83"/>
      <c r="G32" s="83"/>
      <c r="H32" s="83"/>
      <c r="I32" s="2"/>
    </row>
    <row r="33" spans="2:9">
      <c r="B33" s="2"/>
      <c r="C33" s="2"/>
      <c r="D33" s="2"/>
      <c r="E33" s="2"/>
      <c r="F33" s="83"/>
      <c r="G33" s="83"/>
      <c r="H33" s="83"/>
      <c r="I33" s="2"/>
    </row>
    <row r="34" spans="2:9">
      <c r="B34" s="2"/>
      <c r="C34" s="2"/>
      <c r="D34" s="2"/>
      <c r="E34" s="2"/>
      <c r="F34" s="83"/>
      <c r="G34" s="83"/>
      <c r="H34" s="83"/>
      <c r="I34"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1E11E-204E-4F39-8B30-8AD0C39F3086}">
  <dimension ref="A1:BQ54"/>
  <sheetViews>
    <sheetView topLeftCell="A7" zoomScale="55" zoomScaleNormal="55" workbookViewId="0">
      <selection activeCell="D8" sqref="D8"/>
    </sheetView>
  </sheetViews>
  <sheetFormatPr defaultRowHeight="14.45"/>
  <cols>
    <col min="2" max="2" width="22.140625" customWidth="1"/>
    <col min="4" max="4" width="46.85546875" bestFit="1" customWidth="1"/>
    <col min="5" max="5" width="10.42578125" bestFit="1" customWidth="1"/>
    <col min="21" max="21" width="8.7109375" style="21"/>
  </cols>
  <sheetData>
    <row r="1" spans="4:44">
      <c r="M1">
        <f>900/5</f>
        <v>180</v>
      </c>
    </row>
    <row r="2" spans="4:44">
      <c r="D2" s="26" t="s">
        <v>435</v>
      </c>
      <c r="E2" s="27">
        <v>42465</v>
      </c>
      <c r="F2" s="27">
        <v>42472</v>
      </c>
      <c r="G2" s="27">
        <v>42479</v>
      </c>
      <c r="H2" s="27">
        <v>42486</v>
      </c>
      <c r="I2" s="27">
        <v>42493</v>
      </c>
      <c r="J2" s="27">
        <v>42500</v>
      </c>
      <c r="K2" s="27">
        <v>42507</v>
      </c>
      <c r="L2" s="27">
        <v>42514</v>
      </c>
      <c r="M2" s="27">
        <v>42521</v>
      </c>
      <c r="N2" s="27">
        <v>42528</v>
      </c>
      <c r="O2" s="27">
        <v>42535</v>
      </c>
      <c r="P2" s="27">
        <v>42542</v>
      </c>
      <c r="Q2" s="27">
        <v>42549</v>
      </c>
      <c r="R2" s="27">
        <v>42556</v>
      </c>
      <c r="S2" s="27">
        <v>42563</v>
      </c>
      <c r="T2" s="27">
        <v>42570</v>
      </c>
      <c r="U2" s="27">
        <v>42577</v>
      </c>
      <c r="V2" s="27">
        <v>42584</v>
      </c>
      <c r="W2" s="27">
        <v>42591</v>
      </c>
      <c r="X2" s="27">
        <v>42598</v>
      </c>
      <c r="Y2" s="27">
        <v>42605</v>
      </c>
      <c r="Z2" s="27">
        <v>42612</v>
      </c>
      <c r="AA2" s="27">
        <v>42619</v>
      </c>
      <c r="AB2" s="27">
        <v>42626</v>
      </c>
      <c r="AC2" s="27">
        <v>42633</v>
      </c>
      <c r="AD2" s="27">
        <v>42640</v>
      </c>
      <c r="AE2" s="27">
        <v>42647</v>
      </c>
      <c r="AF2" s="27">
        <v>42654</v>
      </c>
      <c r="AG2" s="27">
        <v>42661</v>
      </c>
      <c r="AH2" s="27">
        <v>42668</v>
      </c>
      <c r="AI2" s="27">
        <v>42675</v>
      </c>
      <c r="AJ2" s="27">
        <v>42682</v>
      </c>
      <c r="AK2" s="27">
        <v>42689</v>
      </c>
      <c r="AL2" s="27">
        <v>42696</v>
      </c>
      <c r="AM2" s="27">
        <v>42703</v>
      </c>
      <c r="AN2" s="27">
        <v>42710</v>
      </c>
      <c r="AO2" s="27">
        <v>42717</v>
      </c>
      <c r="AP2" s="27">
        <v>42724</v>
      </c>
      <c r="AQ2" s="27">
        <v>42731</v>
      </c>
      <c r="AR2" s="27">
        <v>42738</v>
      </c>
    </row>
    <row r="3" spans="4:44">
      <c r="D3" s="26" t="s">
        <v>436</v>
      </c>
      <c r="E3" s="226">
        <v>1</v>
      </c>
      <c r="F3" s="227"/>
      <c r="G3" s="227"/>
      <c r="H3" s="228"/>
      <c r="I3" s="226">
        <v>2</v>
      </c>
      <c r="J3" s="227"/>
      <c r="K3" s="227"/>
      <c r="L3" s="228"/>
      <c r="M3" s="226">
        <v>3</v>
      </c>
      <c r="N3" s="227"/>
      <c r="O3" s="227"/>
      <c r="P3" s="227"/>
      <c r="Q3" s="228"/>
      <c r="R3" s="226">
        <v>4</v>
      </c>
      <c r="S3" s="227"/>
      <c r="T3" s="227"/>
      <c r="U3" s="228"/>
      <c r="V3" s="226">
        <v>5</v>
      </c>
      <c r="W3" s="227"/>
      <c r="X3" s="227"/>
      <c r="Y3" s="227"/>
      <c r="Z3" s="228"/>
      <c r="AA3" s="226">
        <v>6</v>
      </c>
      <c r="AB3" s="227"/>
      <c r="AC3" s="227"/>
      <c r="AD3" s="228"/>
      <c r="AE3" s="226">
        <v>7</v>
      </c>
      <c r="AF3" s="227"/>
      <c r="AG3" s="227"/>
      <c r="AH3" s="228"/>
      <c r="AI3" s="226">
        <v>8</v>
      </c>
      <c r="AJ3" s="227"/>
      <c r="AK3" s="227"/>
      <c r="AL3" s="227"/>
      <c r="AM3" s="228"/>
      <c r="AN3" s="27"/>
      <c r="AO3" s="27"/>
      <c r="AP3" s="27"/>
      <c r="AQ3" s="27"/>
      <c r="AR3" s="2"/>
    </row>
    <row r="4" spans="4:44">
      <c r="D4" s="26" t="s">
        <v>437</v>
      </c>
      <c r="E4" s="229" t="s">
        <v>438</v>
      </c>
      <c r="F4" s="230"/>
      <c r="G4" s="230"/>
      <c r="H4" s="231"/>
      <c r="I4" s="232" t="s">
        <v>439</v>
      </c>
      <c r="J4" s="232"/>
      <c r="K4" s="232"/>
      <c r="L4" s="232"/>
      <c r="M4" s="230" t="s">
        <v>440</v>
      </c>
      <c r="N4" s="230"/>
      <c r="O4" s="230"/>
      <c r="P4" s="230"/>
      <c r="Q4" s="231"/>
      <c r="R4" s="229" t="s">
        <v>441</v>
      </c>
      <c r="S4" s="230"/>
      <c r="T4" s="230"/>
      <c r="U4" s="231"/>
      <c r="V4" s="233" t="s">
        <v>442</v>
      </c>
      <c r="W4" s="234"/>
      <c r="X4" s="234"/>
      <c r="Y4" s="234"/>
      <c r="Z4" s="235"/>
      <c r="AA4" s="233" t="s">
        <v>443</v>
      </c>
      <c r="AB4" s="234"/>
      <c r="AC4" s="234"/>
      <c r="AD4" s="235"/>
      <c r="AE4" s="233" t="s">
        <v>444</v>
      </c>
      <c r="AF4" s="234"/>
      <c r="AG4" s="234"/>
      <c r="AH4" s="235"/>
      <c r="AI4" s="233" t="s">
        <v>445</v>
      </c>
      <c r="AJ4" s="234"/>
      <c r="AK4" s="234"/>
      <c r="AL4" s="234"/>
      <c r="AM4" s="235"/>
      <c r="AN4" s="26"/>
      <c r="AO4" s="26"/>
      <c r="AP4" s="26"/>
      <c r="AQ4" s="26"/>
      <c r="AR4" s="2"/>
    </row>
    <row r="5" spans="4:44">
      <c r="D5" s="2" t="s">
        <v>446</v>
      </c>
      <c r="E5" s="47" t="e">
        <f>#REF!</f>
        <v>#REF!</v>
      </c>
      <c r="F5" s="47"/>
      <c r="G5" s="47"/>
      <c r="H5" s="47"/>
      <c r="I5" s="47"/>
      <c r="J5" s="47"/>
      <c r="K5" s="48"/>
      <c r="L5" s="48"/>
      <c r="M5" s="48"/>
      <c r="N5" s="48"/>
      <c r="O5" s="48"/>
      <c r="P5" s="48"/>
      <c r="Q5" s="48"/>
      <c r="R5" s="48"/>
      <c r="S5" s="48"/>
      <c r="T5" s="48"/>
      <c r="U5" s="49"/>
      <c r="V5" s="48"/>
      <c r="W5" s="48"/>
      <c r="X5" s="48"/>
      <c r="Y5" s="48"/>
      <c r="Z5" s="48"/>
      <c r="AA5" s="48"/>
      <c r="AB5" s="48"/>
      <c r="AC5" s="48"/>
      <c r="AD5" s="48"/>
      <c r="AE5" s="48"/>
      <c r="AF5" s="48"/>
      <c r="AG5" s="48"/>
      <c r="AH5" s="48"/>
      <c r="AI5" s="48"/>
      <c r="AJ5" s="48"/>
      <c r="AK5" s="48"/>
      <c r="AL5" s="48"/>
      <c r="AM5" s="48"/>
      <c r="AN5" s="48"/>
      <c r="AO5" s="48"/>
      <c r="AP5" s="48"/>
      <c r="AQ5" s="48"/>
      <c r="AR5" s="48"/>
    </row>
    <row r="6" spans="4:44">
      <c r="D6" s="2" t="s">
        <v>447</v>
      </c>
      <c r="E6" s="48"/>
      <c r="F6" s="48"/>
      <c r="G6" s="50" t="e">
        <f>#REF!</f>
        <v>#REF!</v>
      </c>
      <c r="H6" s="50"/>
      <c r="I6" s="50"/>
      <c r="J6" s="50"/>
      <c r="K6" s="50"/>
      <c r="L6" s="50"/>
      <c r="M6" s="48"/>
      <c r="N6" s="48"/>
      <c r="O6" s="48"/>
      <c r="P6" s="48"/>
      <c r="Q6" s="48"/>
      <c r="R6" s="48"/>
      <c r="S6" s="48"/>
      <c r="T6" s="48"/>
      <c r="U6" s="49"/>
      <c r="V6" s="48"/>
      <c r="W6" s="48"/>
      <c r="X6" s="48"/>
      <c r="Y6" s="48"/>
      <c r="Z6" s="48"/>
      <c r="AA6" s="48"/>
      <c r="AB6" s="48"/>
      <c r="AC6" s="48"/>
      <c r="AD6" s="48"/>
      <c r="AE6" s="48"/>
      <c r="AF6" s="48"/>
      <c r="AG6" s="48"/>
      <c r="AH6" s="48"/>
      <c r="AI6" s="48"/>
      <c r="AJ6" s="48"/>
      <c r="AK6" s="48"/>
      <c r="AL6" s="48"/>
      <c r="AM6" s="48"/>
      <c r="AN6" s="48"/>
      <c r="AO6" s="48"/>
      <c r="AP6" s="48"/>
      <c r="AQ6" s="48"/>
      <c r="AR6" s="48"/>
    </row>
    <row r="7" spans="4:44">
      <c r="D7" s="2" t="s">
        <v>448</v>
      </c>
      <c r="E7" s="48"/>
      <c r="F7" s="48"/>
      <c r="G7" s="48"/>
      <c r="H7" s="48"/>
      <c r="I7" s="48"/>
      <c r="J7" s="48"/>
      <c r="K7" s="48"/>
      <c r="L7" s="48"/>
      <c r="M7" s="48"/>
      <c r="N7" s="48"/>
      <c r="O7" s="48"/>
      <c r="P7" s="48"/>
      <c r="Q7" s="48"/>
      <c r="R7" s="48"/>
      <c r="S7" s="48"/>
      <c r="T7" s="48"/>
      <c r="U7" s="49"/>
      <c r="V7" s="48"/>
      <c r="W7" s="48"/>
      <c r="X7" s="48"/>
      <c r="Y7" s="48"/>
      <c r="Z7" s="48"/>
      <c r="AA7" s="48"/>
      <c r="AB7" s="48"/>
      <c r="AC7" s="48"/>
      <c r="AD7" s="48"/>
      <c r="AE7" s="48"/>
      <c r="AF7" s="48"/>
      <c r="AG7" s="48"/>
      <c r="AH7" s="48"/>
      <c r="AI7" s="48"/>
      <c r="AJ7" s="48"/>
      <c r="AK7" s="48"/>
      <c r="AL7" s="48"/>
      <c r="AM7" s="48"/>
      <c r="AN7" s="48"/>
      <c r="AO7" s="48"/>
      <c r="AP7" s="48"/>
      <c r="AQ7" s="48"/>
      <c r="AR7" s="48"/>
    </row>
    <row r="8" spans="4:44">
      <c r="D8" s="2" t="s">
        <v>449</v>
      </c>
      <c r="E8" s="48"/>
      <c r="F8" s="48"/>
      <c r="G8" s="48"/>
      <c r="H8" s="48"/>
      <c r="I8" s="48"/>
      <c r="J8" s="48"/>
      <c r="K8" s="48"/>
      <c r="L8" s="48"/>
      <c r="M8" s="70" t="e">
        <f>#REF!+#REF!</f>
        <v>#REF!</v>
      </c>
      <c r="N8" s="51"/>
      <c r="O8" s="51"/>
      <c r="P8" s="51"/>
      <c r="Q8" s="51"/>
      <c r="R8" s="52"/>
      <c r="S8" s="52"/>
      <c r="T8" s="52"/>
      <c r="U8" s="53"/>
      <c r="V8" s="54"/>
      <c r="W8" s="54"/>
      <c r="X8" s="54"/>
      <c r="Y8" s="54"/>
      <c r="Z8" s="54"/>
      <c r="AA8" s="55"/>
      <c r="AB8" s="55"/>
      <c r="AC8" s="55"/>
      <c r="AD8" s="55"/>
      <c r="AE8" s="56"/>
      <c r="AF8" s="56"/>
      <c r="AG8" s="56"/>
      <c r="AH8" s="56"/>
      <c r="AI8" s="48"/>
      <c r="AJ8" s="48"/>
      <c r="AK8" s="48"/>
      <c r="AL8" s="48"/>
      <c r="AM8" s="48"/>
      <c r="AN8" s="48"/>
      <c r="AO8" s="48"/>
      <c r="AP8" s="48"/>
      <c r="AQ8" s="48"/>
      <c r="AR8" s="48"/>
    </row>
    <row r="9" spans="4:44">
      <c r="D9" s="2" t="s">
        <v>450</v>
      </c>
      <c r="E9" s="48"/>
      <c r="F9" s="48"/>
      <c r="G9" s="48"/>
      <c r="H9" s="48"/>
      <c r="I9" s="48"/>
      <c r="J9" s="48"/>
      <c r="K9" s="48"/>
      <c r="L9" s="48"/>
      <c r="M9" s="48"/>
      <c r="N9" s="48"/>
      <c r="O9" s="48"/>
      <c r="P9" s="71" t="e">
        <f>#REF!</f>
        <v>#REF!</v>
      </c>
      <c r="Q9" s="57"/>
      <c r="R9" s="57"/>
      <c r="S9" s="57"/>
      <c r="T9" s="58"/>
      <c r="U9" s="59"/>
      <c r="V9" s="58"/>
      <c r="W9" s="58"/>
      <c r="X9" s="58"/>
      <c r="Y9" s="60"/>
      <c r="Z9" s="60"/>
      <c r="AA9" s="60"/>
      <c r="AB9" s="60"/>
      <c r="AC9" s="50"/>
      <c r="AD9" s="50"/>
      <c r="AE9" s="50"/>
      <c r="AF9" s="50"/>
      <c r="AG9" s="61"/>
      <c r="AH9" s="61"/>
      <c r="AI9" s="61"/>
      <c r="AJ9" s="61"/>
      <c r="AK9" s="48"/>
      <c r="AL9" s="48"/>
      <c r="AM9" s="48"/>
      <c r="AN9" s="48"/>
      <c r="AO9" s="48"/>
      <c r="AP9" s="48"/>
      <c r="AQ9" s="48"/>
      <c r="AR9" s="48"/>
    </row>
    <row r="10" spans="4:44">
      <c r="D10" s="2" t="s">
        <v>451</v>
      </c>
      <c r="E10" s="48"/>
      <c r="F10" s="48"/>
      <c r="G10" s="48"/>
      <c r="H10" s="48"/>
      <c r="I10" s="48"/>
      <c r="J10" s="48"/>
      <c r="K10" s="48"/>
      <c r="L10" s="48"/>
      <c r="M10" s="48"/>
      <c r="N10" s="48"/>
      <c r="O10" s="48"/>
      <c r="P10" s="48"/>
      <c r="Q10" s="48"/>
      <c r="R10" s="62" t="e">
        <f>#REF!</f>
        <v>#REF!</v>
      </c>
      <c r="S10" s="62"/>
      <c r="T10" s="62"/>
      <c r="U10" s="49"/>
      <c r="V10" s="62"/>
      <c r="W10" s="62"/>
      <c r="X10" s="62"/>
      <c r="Y10" s="48"/>
      <c r="Z10" s="49"/>
      <c r="AA10" s="62"/>
      <c r="AB10" s="62"/>
      <c r="AC10" s="62"/>
      <c r="AD10" s="48"/>
      <c r="AE10" s="62"/>
      <c r="AF10" s="62"/>
      <c r="AG10" s="62"/>
      <c r="AH10" s="48"/>
      <c r="AI10" s="62"/>
      <c r="AJ10" s="62"/>
      <c r="AK10" s="62"/>
      <c r="AL10" s="48"/>
      <c r="AM10" s="48"/>
      <c r="AN10" s="48"/>
      <c r="AO10" s="48"/>
      <c r="AP10" s="48"/>
      <c r="AQ10" s="48"/>
      <c r="AR10" s="48"/>
    </row>
    <row r="11" spans="4:44">
      <c r="D11" s="2" t="s">
        <v>452</v>
      </c>
      <c r="E11" s="48"/>
      <c r="F11" s="48"/>
      <c r="G11" s="48"/>
      <c r="H11" s="48"/>
      <c r="I11" s="48"/>
      <c r="J11" s="48"/>
      <c r="K11" s="48"/>
      <c r="L11" s="48"/>
      <c r="M11" s="48"/>
      <c r="N11" s="48"/>
      <c r="O11" s="48"/>
      <c r="P11" s="48"/>
      <c r="Q11" s="48"/>
      <c r="R11" s="72" t="e">
        <f>#REF!</f>
        <v>#REF!</v>
      </c>
      <c r="S11" s="63"/>
      <c r="T11" s="63"/>
      <c r="U11" s="49"/>
      <c r="V11" s="63"/>
      <c r="W11" s="63"/>
      <c r="X11" s="63"/>
      <c r="Y11" s="48"/>
      <c r="Z11" s="49"/>
      <c r="AA11" s="63"/>
      <c r="AB11" s="63"/>
      <c r="AC11" s="63"/>
      <c r="AD11" s="48"/>
      <c r="AE11" s="63"/>
      <c r="AF11" s="63"/>
      <c r="AG11" s="63"/>
      <c r="AH11" s="48"/>
      <c r="AI11" s="63"/>
      <c r="AJ11" s="63"/>
      <c r="AK11" s="63"/>
      <c r="AL11" s="48"/>
      <c r="AM11" s="48"/>
      <c r="AN11" s="48"/>
      <c r="AO11" s="48"/>
      <c r="AP11" s="48"/>
      <c r="AQ11" s="48"/>
      <c r="AR11" s="48"/>
    </row>
    <row r="12" spans="4:44">
      <c r="D12" s="2" t="s">
        <v>217</v>
      </c>
      <c r="E12" s="48"/>
      <c r="F12" s="48"/>
      <c r="G12" s="48"/>
      <c r="H12" s="48"/>
      <c r="I12" s="48"/>
      <c r="J12" s="48"/>
      <c r="K12" s="48"/>
      <c r="L12" s="48"/>
      <c r="M12" s="48"/>
      <c r="N12" s="48"/>
      <c r="O12" s="48"/>
      <c r="P12" s="48"/>
      <c r="Q12" s="48"/>
      <c r="R12" s="48"/>
      <c r="S12" s="48"/>
      <c r="T12" s="64"/>
      <c r="U12" s="73" t="e">
        <f>#REF!+#REF!</f>
        <v>#REF!</v>
      </c>
      <c r="V12" s="65"/>
      <c r="W12" s="49"/>
      <c r="X12" s="48"/>
      <c r="Y12" s="65"/>
      <c r="Z12" s="65"/>
      <c r="AA12" s="49"/>
      <c r="AB12" s="49"/>
      <c r="AC12" s="64"/>
      <c r="AD12" s="65"/>
      <c r="AE12" s="65"/>
      <c r="AF12" s="49"/>
      <c r="AG12" s="64"/>
      <c r="AH12" s="65"/>
      <c r="AI12" s="65"/>
      <c r="AJ12" s="48"/>
      <c r="AK12" s="48"/>
      <c r="AL12" s="65"/>
      <c r="AM12" s="65"/>
      <c r="AN12" s="48"/>
      <c r="AO12" s="48"/>
      <c r="AP12" s="48"/>
      <c r="AQ12" s="48"/>
      <c r="AR12" s="48"/>
    </row>
    <row r="13" spans="4:44">
      <c r="D13" s="2" t="s">
        <v>453</v>
      </c>
      <c r="E13" s="48"/>
      <c r="F13" s="48"/>
      <c r="G13" s="48"/>
      <c r="H13" s="48"/>
      <c r="I13" s="48"/>
      <c r="J13" s="48"/>
      <c r="K13" s="48"/>
      <c r="L13" s="48"/>
      <c r="M13" s="48"/>
      <c r="N13" s="48"/>
      <c r="O13" s="48"/>
      <c r="P13" s="48"/>
      <c r="Q13" s="48"/>
      <c r="R13" s="48"/>
      <c r="S13" s="48"/>
      <c r="T13" s="48"/>
      <c r="U13" s="49"/>
      <c r="V13" s="48"/>
      <c r="W13" s="48"/>
      <c r="X13" s="48"/>
      <c r="Y13" s="48"/>
      <c r="Z13" s="48"/>
      <c r="AA13" s="48"/>
      <c r="AB13" s="48"/>
      <c r="AC13" s="48"/>
      <c r="AD13" s="48"/>
      <c r="AE13" s="48"/>
      <c r="AF13" s="48"/>
      <c r="AG13" s="48"/>
      <c r="AH13" s="48"/>
      <c r="AI13" s="48"/>
      <c r="AJ13" s="48"/>
      <c r="AK13" s="48"/>
      <c r="AL13" s="48"/>
      <c r="AM13" s="48"/>
      <c r="AN13" s="48"/>
      <c r="AO13" s="48"/>
      <c r="AP13" s="48"/>
      <c r="AQ13" s="48"/>
      <c r="AR13" s="48"/>
    </row>
    <row r="14" spans="4:44">
      <c r="D14" s="2" t="s">
        <v>454</v>
      </c>
      <c r="E14" s="48"/>
      <c r="F14" s="48"/>
      <c r="G14" s="48"/>
      <c r="H14" s="48"/>
      <c r="I14" s="48"/>
      <c r="J14" s="48"/>
      <c r="K14" s="48"/>
      <c r="L14" s="48"/>
      <c r="M14" s="48"/>
      <c r="N14" s="48"/>
      <c r="O14" s="48"/>
      <c r="P14" s="48"/>
      <c r="Q14" s="48"/>
      <c r="R14" s="48"/>
      <c r="S14" s="48"/>
      <c r="T14" s="48"/>
      <c r="U14" s="49"/>
      <c r="V14" s="48"/>
      <c r="W14" s="74" t="e">
        <f>#REF!</f>
        <v>#REF!</v>
      </c>
      <c r="X14" s="66"/>
      <c r="Y14" s="66"/>
      <c r="Z14" s="66"/>
      <c r="AA14" s="66"/>
      <c r="AB14" s="66"/>
      <c r="AC14" s="66"/>
      <c r="AD14" s="66"/>
      <c r="AE14" s="66"/>
      <c r="AF14" s="66"/>
      <c r="AG14" s="66"/>
      <c r="AH14" s="66"/>
      <c r="AI14" s="66"/>
      <c r="AJ14" s="66"/>
      <c r="AK14" s="66"/>
      <c r="AL14" s="66"/>
      <c r="AM14" s="66"/>
      <c r="AN14" s="66"/>
      <c r="AO14" s="66"/>
      <c r="AP14" s="66"/>
      <c r="AQ14" s="66"/>
      <c r="AR14" s="48"/>
    </row>
    <row r="15" spans="4:44">
      <c r="D15" s="2" t="s">
        <v>455</v>
      </c>
      <c r="E15" s="48"/>
      <c r="F15" s="48"/>
      <c r="G15" s="48"/>
      <c r="H15" s="48"/>
      <c r="I15" s="48"/>
      <c r="J15" s="48"/>
      <c r="K15" s="48"/>
      <c r="L15" s="48"/>
      <c r="M15" s="48"/>
      <c r="N15" s="48"/>
      <c r="O15" s="48"/>
      <c r="P15" s="48"/>
      <c r="Q15" s="48"/>
      <c r="R15" s="48"/>
      <c r="S15" s="48"/>
      <c r="T15" s="48"/>
      <c r="U15" s="49"/>
      <c r="V15" s="48"/>
      <c r="W15" s="48"/>
      <c r="X15" s="48"/>
      <c r="Y15" s="48"/>
      <c r="Z15" s="48"/>
      <c r="AA15" s="48"/>
      <c r="AB15" s="48"/>
      <c r="AC15" s="48"/>
      <c r="AD15" s="48"/>
      <c r="AE15" s="48"/>
      <c r="AF15" s="48"/>
      <c r="AG15" s="48"/>
      <c r="AH15" s="48"/>
      <c r="AI15" s="48"/>
      <c r="AJ15" s="48"/>
      <c r="AK15" s="48"/>
      <c r="AL15" s="48"/>
      <c r="AM15" s="48"/>
      <c r="AN15" s="48"/>
      <c r="AO15" s="48"/>
      <c r="AP15" s="48"/>
      <c r="AQ15" s="48"/>
      <c r="AR15" s="48"/>
    </row>
    <row r="16" spans="4:44">
      <c r="E16" s="25"/>
      <c r="F16" s="25"/>
      <c r="G16" s="25"/>
      <c r="H16" s="25"/>
      <c r="I16" s="25"/>
      <c r="J16" s="25"/>
      <c r="K16" s="25"/>
      <c r="L16" s="25"/>
      <c r="M16" s="25"/>
      <c r="N16" s="25"/>
      <c r="O16" s="25"/>
      <c r="P16" s="25"/>
      <c r="Q16" s="25"/>
      <c r="R16" s="25"/>
      <c r="S16" s="25"/>
    </row>
    <row r="19" spans="1:69">
      <c r="E19" s="27">
        <v>42465</v>
      </c>
      <c r="F19" s="27">
        <v>42472</v>
      </c>
      <c r="G19" s="27">
        <v>42479</v>
      </c>
      <c r="H19" s="27">
        <v>42486</v>
      </c>
      <c r="I19" s="27">
        <v>42493</v>
      </c>
      <c r="J19" s="27">
        <v>42500</v>
      </c>
      <c r="K19" s="27">
        <v>42507</v>
      </c>
      <c r="L19" s="27">
        <v>42514</v>
      </c>
      <c r="M19" s="27">
        <v>42521</v>
      </c>
      <c r="N19" s="27">
        <v>42528</v>
      </c>
      <c r="O19" s="27">
        <v>42535</v>
      </c>
      <c r="P19" s="27">
        <v>42542</v>
      </c>
      <c r="Q19" s="27">
        <v>42549</v>
      </c>
      <c r="R19" s="27">
        <v>42556</v>
      </c>
      <c r="S19" s="27">
        <v>42563</v>
      </c>
      <c r="T19" s="27">
        <v>42570</v>
      </c>
      <c r="U19" s="27">
        <v>42577</v>
      </c>
      <c r="V19" s="27">
        <v>42584</v>
      </c>
      <c r="W19" s="27">
        <v>42591</v>
      </c>
      <c r="X19" s="27">
        <v>42598</v>
      </c>
      <c r="Y19" s="27">
        <v>42605</v>
      </c>
      <c r="Z19" s="27">
        <v>42612</v>
      </c>
      <c r="AA19" s="27">
        <v>42619</v>
      </c>
      <c r="AB19" s="27">
        <v>42626</v>
      </c>
      <c r="AC19" s="27">
        <v>42633</v>
      </c>
      <c r="AD19" s="27">
        <v>42640</v>
      </c>
      <c r="AE19" s="27">
        <v>42647</v>
      </c>
      <c r="AF19" s="27">
        <v>42654</v>
      </c>
      <c r="AG19" s="27">
        <v>42661</v>
      </c>
      <c r="AH19" s="27">
        <v>42668</v>
      </c>
      <c r="AI19" s="27">
        <v>42675</v>
      </c>
      <c r="AJ19" s="27">
        <v>42682</v>
      </c>
      <c r="AK19" s="27">
        <v>42689</v>
      </c>
      <c r="AL19" s="27">
        <v>42696</v>
      </c>
      <c r="AM19" s="27">
        <v>42703</v>
      </c>
      <c r="AN19" s="27">
        <v>42710</v>
      </c>
      <c r="AO19" s="27">
        <v>42717</v>
      </c>
      <c r="AP19" s="27">
        <v>42724</v>
      </c>
      <c r="AQ19" s="27">
        <v>42731</v>
      </c>
      <c r="AR19" s="27">
        <v>42738</v>
      </c>
    </row>
    <row r="20" spans="1:69">
      <c r="E20" s="226">
        <v>1</v>
      </c>
      <c r="F20" s="227"/>
      <c r="G20" s="227"/>
      <c r="H20" s="228"/>
      <c r="I20" s="226">
        <v>2</v>
      </c>
      <c r="J20" s="227"/>
      <c r="K20" s="227"/>
      <c r="L20" s="228"/>
      <c r="M20" s="226">
        <v>3</v>
      </c>
      <c r="N20" s="227"/>
      <c r="O20" s="227"/>
      <c r="P20" s="227"/>
      <c r="Q20" s="228"/>
      <c r="R20" s="226">
        <v>4</v>
      </c>
      <c r="S20" s="227"/>
      <c r="T20" s="227"/>
      <c r="U20" s="228"/>
      <c r="V20" s="226">
        <v>5</v>
      </c>
      <c r="W20" s="227"/>
      <c r="X20" s="227"/>
      <c r="Y20" s="227"/>
      <c r="Z20" s="228"/>
      <c r="AA20" s="226">
        <v>6</v>
      </c>
      <c r="AB20" s="227"/>
      <c r="AC20" s="227"/>
      <c r="AD20" s="228"/>
      <c r="AE20" s="226">
        <v>7</v>
      </c>
      <c r="AF20" s="227"/>
      <c r="AG20" s="227"/>
      <c r="AH20" s="228"/>
      <c r="AI20" s="226">
        <v>8</v>
      </c>
      <c r="AJ20" s="227"/>
      <c r="AK20" s="227"/>
      <c r="AL20" s="227"/>
      <c r="AM20" s="228"/>
      <c r="AN20" s="27"/>
      <c r="AO20" s="2"/>
      <c r="AP20" s="2"/>
      <c r="AQ20" s="2"/>
      <c r="AR20" s="2"/>
    </row>
    <row r="21" spans="1:69">
      <c r="B21" s="5" t="s">
        <v>456</v>
      </c>
      <c r="C21" s="5" t="s">
        <v>222</v>
      </c>
      <c r="D21" s="5" t="s">
        <v>457</v>
      </c>
      <c r="E21" s="229" t="s">
        <v>438</v>
      </c>
      <c r="F21" s="230"/>
      <c r="G21" s="230"/>
      <c r="H21" s="231"/>
      <c r="I21" s="232" t="s">
        <v>439</v>
      </c>
      <c r="J21" s="232"/>
      <c r="K21" s="232"/>
      <c r="L21" s="232"/>
      <c r="M21" s="230" t="s">
        <v>440</v>
      </c>
      <c r="N21" s="230"/>
      <c r="O21" s="230"/>
      <c r="P21" s="230"/>
      <c r="Q21" s="231"/>
      <c r="R21" s="229" t="s">
        <v>441</v>
      </c>
      <c r="S21" s="230"/>
      <c r="T21" s="230"/>
      <c r="U21" s="231"/>
      <c r="V21" s="233" t="s">
        <v>442</v>
      </c>
      <c r="W21" s="234"/>
      <c r="X21" s="234"/>
      <c r="Y21" s="234"/>
      <c r="Z21" s="235"/>
      <c r="AA21" s="233" t="s">
        <v>443</v>
      </c>
      <c r="AB21" s="234"/>
      <c r="AC21" s="234"/>
      <c r="AD21" s="235"/>
      <c r="AE21" s="233" t="s">
        <v>444</v>
      </c>
      <c r="AF21" s="234"/>
      <c r="AG21" s="234"/>
      <c r="AH21" s="235"/>
      <c r="AI21" s="233" t="s">
        <v>445</v>
      </c>
      <c r="AJ21" s="234"/>
      <c r="AK21" s="234"/>
      <c r="AL21" s="234"/>
      <c r="AM21" s="235"/>
      <c r="AN21" s="26"/>
      <c r="AO21" s="2"/>
      <c r="AP21" s="2"/>
      <c r="AQ21" s="2"/>
      <c r="AR21" s="2"/>
    </row>
    <row r="22" spans="1:69" s="7" customFormat="1">
      <c r="A22"/>
      <c r="B22" s="2" t="s">
        <v>458</v>
      </c>
      <c r="C22" s="2" t="s">
        <v>459</v>
      </c>
      <c r="D22" s="2" t="s">
        <v>460</v>
      </c>
      <c r="E22" s="6">
        <v>1</v>
      </c>
      <c r="F22" s="6">
        <v>1</v>
      </c>
      <c r="G22" s="6">
        <v>1</v>
      </c>
      <c r="H22" s="6">
        <v>1</v>
      </c>
      <c r="I22" s="6">
        <v>1</v>
      </c>
      <c r="J22" s="6">
        <v>1</v>
      </c>
      <c r="K22" s="6">
        <v>1</v>
      </c>
      <c r="L22" s="6">
        <v>1</v>
      </c>
      <c r="M22" s="6">
        <v>1</v>
      </c>
      <c r="N22" s="6">
        <v>1</v>
      </c>
      <c r="O22" s="6">
        <v>1</v>
      </c>
      <c r="P22" s="6">
        <v>1</v>
      </c>
      <c r="Q22" s="6">
        <v>1</v>
      </c>
      <c r="R22" s="6">
        <v>1</v>
      </c>
      <c r="S22" s="6">
        <v>1</v>
      </c>
      <c r="T22" s="6">
        <v>1</v>
      </c>
      <c r="U22" s="67">
        <v>1</v>
      </c>
      <c r="V22" s="6">
        <v>1</v>
      </c>
      <c r="W22" s="2">
        <v>1</v>
      </c>
      <c r="X22" s="2">
        <v>1</v>
      </c>
      <c r="Y22" s="2">
        <v>1</v>
      </c>
      <c r="Z22" s="2">
        <v>1</v>
      </c>
      <c r="AA22" s="2">
        <v>1</v>
      </c>
      <c r="AB22" s="2">
        <v>1</v>
      </c>
      <c r="AC22" s="2">
        <v>1</v>
      </c>
      <c r="AD22" s="2">
        <v>1</v>
      </c>
      <c r="AE22" s="2">
        <v>1</v>
      </c>
      <c r="AF22" s="2">
        <v>1</v>
      </c>
      <c r="AG22" s="2">
        <v>1</v>
      </c>
      <c r="AH22" s="2">
        <v>1</v>
      </c>
      <c r="AI22" s="2">
        <v>1</v>
      </c>
      <c r="AJ22" s="2">
        <v>1</v>
      </c>
      <c r="AK22" s="2">
        <v>1</v>
      </c>
      <c r="AL22" s="2">
        <v>1</v>
      </c>
      <c r="AM22" s="2">
        <v>1</v>
      </c>
      <c r="AN22" s="2">
        <v>1</v>
      </c>
      <c r="AO22" s="2">
        <v>1</v>
      </c>
      <c r="AP22" s="2">
        <v>1</v>
      </c>
      <c r="AQ22" s="2">
        <v>1</v>
      </c>
      <c r="AR22" s="2"/>
      <c r="AS22"/>
      <c r="AT22"/>
      <c r="AU22"/>
      <c r="AV22"/>
      <c r="AW22"/>
      <c r="AX22"/>
      <c r="AY22"/>
      <c r="AZ22"/>
      <c r="BA22"/>
      <c r="BB22"/>
      <c r="BC22"/>
      <c r="BD22"/>
      <c r="BE22"/>
      <c r="BF22"/>
      <c r="BG22"/>
      <c r="BH22"/>
      <c r="BI22"/>
      <c r="BJ22"/>
      <c r="BK22"/>
      <c r="BL22"/>
      <c r="BM22"/>
      <c r="BN22"/>
      <c r="BO22"/>
      <c r="BP22"/>
      <c r="BQ22"/>
    </row>
    <row r="23" spans="1:69">
      <c r="B23" s="10" t="s">
        <v>461</v>
      </c>
      <c r="C23" s="10" t="s">
        <v>459</v>
      </c>
      <c r="D23" s="10" t="s">
        <v>462</v>
      </c>
      <c r="E23" s="68">
        <v>1</v>
      </c>
      <c r="F23" s="68">
        <v>1</v>
      </c>
      <c r="G23" s="68">
        <v>1</v>
      </c>
      <c r="H23" s="68">
        <v>1</v>
      </c>
      <c r="I23" s="68">
        <v>1</v>
      </c>
      <c r="J23" s="68">
        <v>1</v>
      </c>
      <c r="K23" s="69">
        <v>1</v>
      </c>
      <c r="L23" s="69">
        <v>1</v>
      </c>
      <c r="M23" s="11">
        <v>1</v>
      </c>
      <c r="N23" s="11">
        <v>1</v>
      </c>
      <c r="O23" s="11">
        <v>1</v>
      </c>
      <c r="P23" s="11">
        <v>1</v>
      </c>
      <c r="Q23" s="11">
        <v>1</v>
      </c>
      <c r="R23" s="11">
        <v>1</v>
      </c>
      <c r="S23" s="11">
        <v>1</v>
      </c>
      <c r="T23" s="11">
        <v>1</v>
      </c>
      <c r="U23" s="11">
        <v>1</v>
      </c>
      <c r="V23" s="11">
        <v>1</v>
      </c>
      <c r="W23" s="11">
        <v>1</v>
      </c>
      <c r="X23" s="11">
        <v>1</v>
      </c>
      <c r="Y23" s="11">
        <v>1</v>
      </c>
      <c r="Z23" s="11">
        <v>1</v>
      </c>
      <c r="AA23" s="11">
        <v>1</v>
      </c>
      <c r="AB23" s="11">
        <v>1</v>
      </c>
      <c r="AC23" s="11">
        <v>1</v>
      </c>
      <c r="AD23" s="11">
        <v>1</v>
      </c>
      <c r="AE23" s="11">
        <v>1</v>
      </c>
      <c r="AF23" s="11">
        <v>1</v>
      </c>
      <c r="AG23" s="11">
        <v>1</v>
      </c>
      <c r="AH23" s="11">
        <v>1</v>
      </c>
      <c r="AI23" s="11">
        <v>1</v>
      </c>
      <c r="AJ23" s="11">
        <v>1</v>
      </c>
      <c r="AK23" s="11">
        <v>1</v>
      </c>
      <c r="AL23" s="11">
        <v>1</v>
      </c>
      <c r="AM23" s="11">
        <v>1</v>
      </c>
      <c r="AN23" s="10"/>
      <c r="AO23" s="10"/>
      <c r="AP23" s="10"/>
      <c r="AQ23" s="10"/>
      <c r="AR23" s="10"/>
    </row>
    <row r="24" spans="1:69">
      <c r="B24" s="10" t="s">
        <v>463</v>
      </c>
      <c r="C24" s="10" t="s">
        <v>18</v>
      </c>
      <c r="D24" s="10" t="s">
        <v>460</v>
      </c>
      <c r="E24" s="68">
        <v>1</v>
      </c>
      <c r="F24" s="68">
        <v>1</v>
      </c>
      <c r="G24" s="68">
        <v>1</v>
      </c>
      <c r="H24" s="68">
        <v>1</v>
      </c>
      <c r="I24" s="68">
        <v>1</v>
      </c>
      <c r="J24" s="68">
        <v>1</v>
      </c>
      <c r="K24" s="69">
        <v>1</v>
      </c>
      <c r="L24" s="69">
        <v>1</v>
      </c>
      <c r="M24" s="11">
        <v>1</v>
      </c>
      <c r="N24" s="11">
        <v>1</v>
      </c>
      <c r="O24" s="11">
        <v>1</v>
      </c>
      <c r="P24" s="11">
        <v>1</v>
      </c>
      <c r="Q24" s="11">
        <v>1</v>
      </c>
      <c r="R24" s="11">
        <v>1</v>
      </c>
      <c r="S24" s="11">
        <v>1</v>
      </c>
      <c r="T24" s="11">
        <v>1</v>
      </c>
      <c r="U24" s="11">
        <v>1</v>
      </c>
      <c r="V24" s="11">
        <v>1</v>
      </c>
      <c r="W24" s="11">
        <v>1</v>
      </c>
      <c r="X24" s="11">
        <v>1</v>
      </c>
      <c r="Y24" s="11">
        <v>1</v>
      </c>
      <c r="Z24" s="11">
        <v>1</v>
      </c>
      <c r="AA24" s="11">
        <v>1</v>
      </c>
      <c r="AB24" s="11">
        <v>1</v>
      </c>
      <c r="AC24" s="11">
        <v>1</v>
      </c>
      <c r="AD24" s="11">
        <v>1</v>
      </c>
      <c r="AE24" s="11">
        <v>1</v>
      </c>
      <c r="AF24" s="11">
        <v>1</v>
      </c>
      <c r="AG24" s="11">
        <v>1</v>
      </c>
      <c r="AH24" s="11">
        <v>1</v>
      </c>
      <c r="AI24" s="11">
        <v>1</v>
      </c>
      <c r="AJ24" s="11">
        <v>1</v>
      </c>
      <c r="AK24" s="11">
        <v>1</v>
      </c>
      <c r="AL24" s="11">
        <v>1</v>
      </c>
      <c r="AM24" s="11">
        <v>1</v>
      </c>
      <c r="AN24" s="10"/>
      <c r="AO24" s="10"/>
      <c r="AP24" s="10"/>
      <c r="AQ24" s="10"/>
      <c r="AR24" s="10"/>
    </row>
    <row r="25" spans="1:69">
      <c r="B25" s="10" t="s">
        <v>464</v>
      </c>
      <c r="C25" s="10" t="s">
        <v>465</v>
      </c>
      <c r="D25" s="10" t="s">
        <v>460</v>
      </c>
      <c r="E25" s="11">
        <v>1</v>
      </c>
      <c r="F25" s="11">
        <v>1</v>
      </c>
      <c r="G25" s="69">
        <v>1</v>
      </c>
      <c r="H25" s="69">
        <v>1</v>
      </c>
      <c r="I25" s="69">
        <v>1</v>
      </c>
      <c r="J25" s="69">
        <v>1</v>
      </c>
      <c r="K25" s="69">
        <v>1</v>
      </c>
      <c r="L25" s="69">
        <v>1</v>
      </c>
      <c r="M25" s="11">
        <v>1</v>
      </c>
      <c r="N25" s="11">
        <v>1</v>
      </c>
      <c r="O25" s="11">
        <v>1</v>
      </c>
      <c r="P25" s="11">
        <v>1</v>
      </c>
      <c r="Q25" s="11">
        <v>1</v>
      </c>
      <c r="R25" s="11">
        <v>1</v>
      </c>
      <c r="S25" s="11">
        <v>1</v>
      </c>
      <c r="T25" s="11">
        <v>1</v>
      </c>
      <c r="U25" s="11">
        <v>1</v>
      </c>
      <c r="V25" s="11">
        <v>1</v>
      </c>
      <c r="W25" s="11">
        <v>1</v>
      </c>
      <c r="X25" s="11">
        <v>1</v>
      </c>
      <c r="Y25" s="11">
        <v>1</v>
      </c>
      <c r="Z25" s="11">
        <v>1</v>
      </c>
      <c r="AA25" s="11">
        <v>1</v>
      </c>
      <c r="AB25" s="11">
        <v>1</v>
      </c>
      <c r="AC25" s="11">
        <v>1</v>
      </c>
      <c r="AD25" s="11">
        <v>1</v>
      </c>
      <c r="AE25" s="11">
        <v>1</v>
      </c>
      <c r="AF25" s="11">
        <v>1</v>
      </c>
      <c r="AG25" s="11">
        <v>1</v>
      </c>
      <c r="AH25" s="11">
        <v>1</v>
      </c>
      <c r="AI25" s="11">
        <v>1</v>
      </c>
      <c r="AJ25" s="11">
        <v>1</v>
      </c>
      <c r="AK25" s="11">
        <v>1</v>
      </c>
      <c r="AL25" s="11">
        <v>1</v>
      </c>
      <c r="AM25" s="11">
        <v>1</v>
      </c>
      <c r="AN25" s="10">
        <v>1</v>
      </c>
      <c r="AO25" s="10">
        <v>1</v>
      </c>
      <c r="AP25" s="10">
        <v>1</v>
      </c>
      <c r="AQ25" s="10">
        <v>1</v>
      </c>
      <c r="AR25" s="10"/>
    </row>
    <row r="26" spans="1:69">
      <c r="B26" s="10" t="s">
        <v>466</v>
      </c>
      <c r="C26" s="10" t="s">
        <v>465</v>
      </c>
      <c r="D26" s="10" t="s">
        <v>460</v>
      </c>
      <c r="E26" s="11">
        <v>1</v>
      </c>
      <c r="F26" s="11">
        <v>1</v>
      </c>
      <c r="G26" s="69">
        <v>1</v>
      </c>
      <c r="H26" s="69">
        <v>1</v>
      </c>
      <c r="I26" s="69">
        <v>1</v>
      </c>
      <c r="J26" s="69">
        <v>1</v>
      </c>
      <c r="K26" s="69">
        <v>1</v>
      </c>
      <c r="L26" s="69">
        <v>1</v>
      </c>
      <c r="M26" s="11">
        <v>1</v>
      </c>
      <c r="N26" s="11">
        <v>1</v>
      </c>
      <c r="O26" s="11">
        <v>1</v>
      </c>
      <c r="P26" s="11">
        <v>1</v>
      </c>
      <c r="Q26" s="11">
        <v>1</v>
      </c>
      <c r="R26" s="11">
        <v>1</v>
      </c>
      <c r="S26" s="11">
        <v>1</v>
      </c>
      <c r="T26" s="11">
        <v>1</v>
      </c>
      <c r="U26" s="11">
        <v>1</v>
      </c>
      <c r="V26" s="11">
        <v>1</v>
      </c>
      <c r="W26" s="11">
        <v>1</v>
      </c>
      <c r="X26" s="11">
        <v>1</v>
      </c>
      <c r="Y26" s="11">
        <v>1</v>
      </c>
      <c r="Z26" s="11">
        <v>1</v>
      </c>
      <c r="AA26" s="11">
        <v>1</v>
      </c>
      <c r="AB26" s="11">
        <v>1</v>
      </c>
      <c r="AC26" s="11">
        <v>1</v>
      </c>
      <c r="AD26" s="11">
        <v>1</v>
      </c>
      <c r="AE26" s="11">
        <v>1</v>
      </c>
      <c r="AF26" s="11">
        <v>1</v>
      </c>
      <c r="AG26" s="11">
        <v>1</v>
      </c>
      <c r="AH26" s="11">
        <v>1</v>
      </c>
      <c r="AI26" s="11">
        <v>1</v>
      </c>
      <c r="AJ26" s="11">
        <v>1</v>
      </c>
      <c r="AK26" s="11">
        <v>1</v>
      </c>
      <c r="AL26" s="11">
        <v>1</v>
      </c>
      <c r="AM26" s="11">
        <v>1</v>
      </c>
      <c r="AN26" s="10">
        <v>1</v>
      </c>
      <c r="AO26" s="10">
        <v>1</v>
      </c>
      <c r="AP26" s="10">
        <v>1</v>
      </c>
      <c r="AQ26" s="10">
        <v>1</v>
      </c>
      <c r="AR26" s="10"/>
    </row>
    <row r="27" spans="1:69">
      <c r="B27" s="10" t="s">
        <v>467</v>
      </c>
      <c r="C27" s="10" t="s">
        <v>53</v>
      </c>
      <c r="D27" s="10" t="s">
        <v>460</v>
      </c>
      <c r="E27" s="11"/>
      <c r="F27" s="11"/>
      <c r="G27" s="11"/>
      <c r="H27" s="11"/>
      <c r="I27" s="69">
        <v>2</v>
      </c>
      <c r="J27" s="69">
        <v>2</v>
      </c>
      <c r="K27" s="69">
        <v>2</v>
      </c>
      <c r="L27" s="69">
        <v>2</v>
      </c>
      <c r="M27" s="11">
        <v>2</v>
      </c>
      <c r="N27" s="11">
        <v>2</v>
      </c>
      <c r="O27" s="11">
        <v>2</v>
      </c>
      <c r="P27" s="11">
        <v>2</v>
      </c>
      <c r="Q27" s="11">
        <v>2</v>
      </c>
      <c r="R27" s="11">
        <v>2</v>
      </c>
      <c r="S27" s="11">
        <v>2</v>
      </c>
      <c r="T27" s="11">
        <v>2</v>
      </c>
      <c r="U27" s="11">
        <v>2</v>
      </c>
      <c r="V27" s="11">
        <v>2</v>
      </c>
      <c r="W27" s="11">
        <v>2</v>
      </c>
      <c r="X27" s="11">
        <v>2</v>
      </c>
      <c r="Y27" s="11">
        <v>2</v>
      </c>
      <c r="Z27" s="11">
        <v>2</v>
      </c>
      <c r="AA27" s="11">
        <v>2</v>
      </c>
      <c r="AB27" s="11">
        <v>2</v>
      </c>
      <c r="AC27" s="11">
        <v>2</v>
      </c>
      <c r="AD27" s="11">
        <v>2</v>
      </c>
      <c r="AE27" s="11">
        <v>2</v>
      </c>
      <c r="AF27" s="11">
        <v>2</v>
      </c>
      <c r="AG27" s="11">
        <v>2</v>
      </c>
      <c r="AH27" s="11">
        <v>2</v>
      </c>
      <c r="AI27" s="11">
        <v>2</v>
      </c>
      <c r="AJ27" s="11">
        <v>2</v>
      </c>
      <c r="AK27" s="11">
        <v>2</v>
      </c>
      <c r="AL27" s="11">
        <v>2</v>
      </c>
      <c r="AM27" s="11">
        <v>2</v>
      </c>
      <c r="AN27" s="10">
        <v>1</v>
      </c>
      <c r="AO27" s="10">
        <v>1</v>
      </c>
      <c r="AP27" s="10">
        <v>1</v>
      </c>
      <c r="AQ27" s="10">
        <v>1</v>
      </c>
      <c r="AR27" s="10"/>
    </row>
    <row r="28" spans="1:69">
      <c r="B28" s="10" t="s">
        <v>468</v>
      </c>
      <c r="C28" s="10" t="s">
        <v>188</v>
      </c>
      <c r="D28" s="10" t="s">
        <v>460</v>
      </c>
      <c r="E28" s="11"/>
      <c r="F28" s="11"/>
      <c r="G28" s="11"/>
      <c r="H28" s="11"/>
      <c r="I28" s="11"/>
      <c r="J28" s="11"/>
      <c r="K28" s="11"/>
      <c r="L28" s="11"/>
      <c r="M28" s="11">
        <v>2</v>
      </c>
      <c r="N28" s="11">
        <v>2</v>
      </c>
      <c r="O28" s="11">
        <v>2</v>
      </c>
      <c r="P28" s="11">
        <v>2</v>
      </c>
      <c r="Q28" s="11">
        <v>2</v>
      </c>
      <c r="R28" s="11">
        <v>2</v>
      </c>
      <c r="S28" s="11">
        <v>2</v>
      </c>
      <c r="T28" s="11">
        <v>2</v>
      </c>
      <c r="U28" s="11">
        <v>2</v>
      </c>
      <c r="V28" s="11">
        <v>2</v>
      </c>
      <c r="W28" s="11">
        <v>2</v>
      </c>
      <c r="X28" s="11">
        <v>2</v>
      </c>
      <c r="Y28" s="11">
        <v>2</v>
      </c>
      <c r="Z28" s="11">
        <v>2</v>
      </c>
      <c r="AA28" s="11">
        <v>2</v>
      </c>
      <c r="AB28" s="11">
        <v>2</v>
      </c>
      <c r="AC28" s="11">
        <v>2</v>
      </c>
      <c r="AD28" s="11">
        <v>2</v>
      </c>
      <c r="AE28" s="11">
        <v>2</v>
      </c>
      <c r="AF28" s="11">
        <v>2</v>
      </c>
      <c r="AG28" s="11">
        <v>2</v>
      </c>
      <c r="AH28" s="11">
        <v>2</v>
      </c>
      <c r="AI28" s="11">
        <v>2</v>
      </c>
      <c r="AJ28" s="11">
        <v>2</v>
      </c>
      <c r="AK28" s="11">
        <v>2</v>
      </c>
      <c r="AL28" s="11">
        <v>2</v>
      </c>
      <c r="AM28" s="11">
        <v>2</v>
      </c>
      <c r="AN28" s="10"/>
      <c r="AO28" s="10"/>
      <c r="AP28" s="10"/>
      <c r="AQ28" s="10"/>
      <c r="AR28" s="10"/>
    </row>
    <row r="29" spans="1:69">
      <c r="B29" s="2" t="s">
        <v>469</v>
      </c>
      <c r="C29" s="2" t="s">
        <v>465</v>
      </c>
      <c r="D29" s="2" t="s">
        <v>460</v>
      </c>
      <c r="E29" s="6">
        <v>1</v>
      </c>
      <c r="F29" s="6">
        <v>1</v>
      </c>
      <c r="G29" s="6">
        <v>1</v>
      </c>
      <c r="H29" s="6">
        <v>1</v>
      </c>
      <c r="I29" s="6">
        <v>1</v>
      </c>
      <c r="J29" s="6">
        <v>1</v>
      </c>
      <c r="K29" s="6">
        <v>1</v>
      </c>
      <c r="L29" s="6">
        <v>1</v>
      </c>
      <c r="M29" s="6">
        <v>1</v>
      </c>
      <c r="N29" s="6">
        <v>1</v>
      </c>
      <c r="O29" s="6">
        <v>1</v>
      </c>
      <c r="P29" s="6">
        <v>1</v>
      </c>
      <c r="Q29" s="6">
        <v>1</v>
      </c>
      <c r="R29" s="6">
        <v>1</v>
      </c>
      <c r="S29" s="6">
        <v>1</v>
      </c>
      <c r="T29" s="6">
        <v>1</v>
      </c>
      <c r="U29" s="6">
        <v>1</v>
      </c>
      <c r="V29" s="6">
        <v>1</v>
      </c>
      <c r="W29" s="6">
        <v>1</v>
      </c>
      <c r="X29" s="6">
        <v>1</v>
      </c>
      <c r="Y29" s="6">
        <v>1</v>
      </c>
      <c r="Z29" s="6">
        <v>1</v>
      </c>
      <c r="AA29" s="6">
        <v>1</v>
      </c>
      <c r="AB29" s="6">
        <v>1</v>
      </c>
      <c r="AC29" s="6">
        <v>1</v>
      </c>
      <c r="AD29" s="6">
        <v>1</v>
      </c>
      <c r="AE29" s="6">
        <v>1</v>
      </c>
      <c r="AF29" s="6">
        <v>1</v>
      </c>
      <c r="AG29" s="6">
        <v>1</v>
      </c>
      <c r="AH29" s="6">
        <v>1</v>
      </c>
      <c r="AI29" s="6">
        <v>1</v>
      </c>
      <c r="AJ29" s="6">
        <v>1</v>
      </c>
      <c r="AK29" s="6">
        <v>1</v>
      </c>
      <c r="AL29" s="6">
        <v>1</v>
      </c>
      <c r="AM29" s="6">
        <v>1</v>
      </c>
      <c r="AN29" s="6"/>
      <c r="AO29" s="2"/>
      <c r="AP29" s="2"/>
      <c r="AQ29" s="2"/>
      <c r="AR29" s="2"/>
    </row>
    <row r="30" spans="1:69">
      <c r="B30" s="2" t="s">
        <v>470</v>
      </c>
      <c r="C30" s="2" t="s">
        <v>18</v>
      </c>
      <c r="D30" s="2" t="s">
        <v>460</v>
      </c>
      <c r="E30" s="6"/>
      <c r="F30" s="6"/>
      <c r="G30" s="6"/>
      <c r="H30" s="6"/>
      <c r="I30" s="6"/>
      <c r="J30" s="6"/>
      <c r="K30" s="6"/>
      <c r="L30" s="6"/>
      <c r="M30" s="6">
        <v>1</v>
      </c>
      <c r="N30" s="6">
        <v>1</v>
      </c>
      <c r="O30" s="6">
        <v>1</v>
      </c>
      <c r="P30" s="6">
        <v>1</v>
      </c>
      <c r="Q30" s="75">
        <v>1</v>
      </c>
      <c r="R30" s="75">
        <v>1</v>
      </c>
      <c r="S30" s="75">
        <v>1</v>
      </c>
      <c r="T30" s="75">
        <v>1</v>
      </c>
      <c r="U30" s="75">
        <v>1</v>
      </c>
      <c r="V30" s="75">
        <v>1</v>
      </c>
      <c r="W30" s="75">
        <v>1</v>
      </c>
      <c r="X30" s="75">
        <v>1</v>
      </c>
      <c r="Y30" s="75">
        <v>1</v>
      </c>
      <c r="Z30" s="75">
        <v>1</v>
      </c>
      <c r="AA30" s="75">
        <v>1</v>
      </c>
      <c r="AB30" s="75">
        <v>1</v>
      </c>
      <c r="AC30" s="75">
        <v>1</v>
      </c>
      <c r="AD30" s="75">
        <v>1</v>
      </c>
      <c r="AE30" s="75">
        <v>1</v>
      </c>
      <c r="AF30" s="75">
        <v>1</v>
      </c>
      <c r="AG30" s="75">
        <v>1</v>
      </c>
      <c r="AH30" s="75">
        <v>1</v>
      </c>
      <c r="AI30" s="75">
        <v>1</v>
      </c>
      <c r="AJ30" s="75">
        <v>1</v>
      </c>
      <c r="AK30" s="75">
        <v>1</v>
      </c>
      <c r="AL30" s="75">
        <v>1</v>
      </c>
      <c r="AM30" s="75">
        <v>1</v>
      </c>
      <c r="AN30" s="2"/>
      <c r="AO30" s="2"/>
      <c r="AP30" s="2"/>
      <c r="AQ30" s="2"/>
      <c r="AR30" s="2"/>
    </row>
    <row r="31" spans="1:69">
      <c r="B31" s="2" t="s">
        <v>471</v>
      </c>
      <c r="C31" s="2" t="s">
        <v>465</v>
      </c>
      <c r="D31" s="2" t="s">
        <v>460</v>
      </c>
      <c r="E31" s="6"/>
      <c r="F31" s="6"/>
      <c r="G31" s="6"/>
      <c r="H31" s="6"/>
      <c r="I31" s="6"/>
      <c r="J31" s="6"/>
      <c r="K31" s="6"/>
      <c r="L31" s="6"/>
      <c r="M31" s="6">
        <v>1</v>
      </c>
      <c r="N31" s="6">
        <v>1</v>
      </c>
      <c r="O31" s="6">
        <v>1</v>
      </c>
      <c r="P31" s="6">
        <v>1</v>
      </c>
      <c r="Q31" s="75">
        <v>1</v>
      </c>
      <c r="R31" s="75">
        <v>1</v>
      </c>
      <c r="S31" s="75">
        <v>1</v>
      </c>
      <c r="T31" s="75">
        <v>1</v>
      </c>
      <c r="U31" s="75">
        <v>1</v>
      </c>
      <c r="V31" s="75">
        <v>1</v>
      </c>
      <c r="W31" s="75">
        <v>1</v>
      </c>
      <c r="X31" s="75">
        <v>1</v>
      </c>
      <c r="Y31" s="75">
        <v>1</v>
      </c>
      <c r="Z31" s="75">
        <v>1</v>
      </c>
      <c r="AA31" s="75">
        <v>1</v>
      </c>
      <c r="AB31" s="75">
        <v>1</v>
      </c>
      <c r="AC31" s="75">
        <v>1</v>
      </c>
      <c r="AD31" s="75">
        <v>1</v>
      </c>
      <c r="AE31" s="75">
        <v>1</v>
      </c>
      <c r="AF31" s="75">
        <v>1</v>
      </c>
      <c r="AG31" s="75">
        <v>1</v>
      </c>
      <c r="AH31" s="75">
        <v>1</v>
      </c>
      <c r="AI31" s="75">
        <v>1</v>
      </c>
      <c r="AJ31" s="75">
        <v>1</v>
      </c>
      <c r="AK31" s="75">
        <v>1</v>
      </c>
      <c r="AL31" s="75">
        <v>1</v>
      </c>
      <c r="AM31" s="75">
        <v>1</v>
      </c>
      <c r="AN31" s="2"/>
      <c r="AO31" s="2"/>
      <c r="AP31" s="2"/>
      <c r="AQ31" s="2"/>
      <c r="AR31" s="2"/>
    </row>
    <row r="32" spans="1:69">
      <c r="B32" s="2" t="s">
        <v>472</v>
      </c>
      <c r="C32" s="2" t="s">
        <v>53</v>
      </c>
      <c r="D32" s="2" t="s">
        <v>460</v>
      </c>
      <c r="E32" s="6"/>
      <c r="F32" s="6"/>
      <c r="G32" s="6"/>
      <c r="H32" s="6"/>
      <c r="I32" s="6"/>
      <c r="J32" s="6"/>
      <c r="K32" s="6"/>
      <c r="L32" s="6"/>
      <c r="M32" s="6">
        <v>1</v>
      </c>
      <c r="N32" s="6">
        <v>1</v>
      </c>
      <c r="O32" s="6">
        <v>1</v>
      </c>
      <c r="P32" s="6">
        <v>1</v>
      </c>
      <c r="Q32" s="75">
        <v>1</v>
      </c>
      <c r="R32" s="75">
        <v>1</v>
      </c>
      <c r="S32" s="75">
        <v>1</v>
      </c>
      <c r="T32" s="75">
        <v>1</v>
      </c>
      <c r="U32" s="75">
        <v>1</v>
      </c>
      <c r="V32" s="75">
        <v>1</v>
      </c>
      <c r="W32" s="75">
        <v>1</v>
      </c>
      <c r="X32" s="75">
        <v>1</v>
      </c>
      <c r="Y32" s="75">
        <v>1</v>
      </c>
      <c r="Z32" s="75">
        <v>1</v>
      </c>
      <c r="AA32" s="75">
        <v>1</v>
      </c>
      <c r="AB32" s="75">
        <v>1</v>
      </c>
      <c r="AC32" s="75">
        <v>1</v>
      </c>
      <c r="AD32" s="75">
        <v>1</v>
      </c>
      <c r="AE32" s="75">
        <v>1</v>
      </c>
      <c r="AF32" s="75">
        <v>1</v>
      </c>
      <c r="AG32" s="75">
        <v>1</v>
      </c>
      <c r="AH32" s="75">
        <v>1</v>
      </c>
      <c r="AI32" s="75">
        <v>1</v>
      </c>
      <c r="AJ32" s="75">
        <v>1</v>
      </c>
      <c r="AK32" s="75">
        <v>1</v>
      </c>
      <c r="AL32" s="75">
        <v>1</v>
      </c>
      <c r="AM32" s="75">
        <v>1</v>
      </c>
      <c r="AN32" s="2"/>
      <c r="AO32" s="2"/>
      <c r="AP32" s="2"/>
      <c r="AQ32" s="2"/>
      <c r="AR32" s="2"/>
    </row>
    <row r="33" spans="2:44" s="17" customFormat="1" ht="15.95">
      <c r="B33" s="20" t="s">
        <v>473</v>
      </c>
      <c r="C33" s="20" t="s">
        <v>465</v>
      </c>
      <c r="D33" s="20" t="s">
        <v>460</v>
      </c>
      <c r="E33" s="16"/>
      <c r="F33" s="16"/>
      <c r="G33" s="16"/>
      <c r="H33" s="16"/>
      <c r="I33" s="16"/>
      <c r="J33" s="16"/>
      <c r="K33" s="16"/>
      <c r="L33" s="16"/>
      <c r="M33" s="16"/>
      <c r="N33" s="16"/>
      <c r="O33" s="16"/>
      <c r="P33" s="16"/>
      <c r="Q33" s="16"/>
      <c r="R33" s="16"/>
      <c r="S33" s="16"/>
      <c r="T33" s="16"/>
      <c r="U33" s="16"/>
      <c r="V33" s="6"/>
      <c r="W33" s="15"/>
      <c r="X33" s="15"/>
      <c r="Y33" s="15"/>
      <c r="Z33" s="15"/>
      <c r="AA33" s="15"/>
      <c r="AB33" s="15"/>
      <c r="AC33" s="15"/>
      <c r="AD33" s="15"/>
      <c r="AE33" s="15"/>
      <c r="AF33" s="15"/>
      <c r="AG33" s="15"/>
      <c r="AH33" s="15"/>
      <c r="AI33" s="15"/>
      <c r="AJ33" s="15"/>
      <c r="AK33" s="15"/>
      <c r="AL33" s="15"/>
      <c r="AM33" s="15"/>
      <c r="AN33" s="15"/>
      <c r="AO33" s="15"/>
      <c r="AP33" s="15"/>
      <c r="AQ33" s="15"/>
      <c r="AR33" s="15"/>
    </row>
    <row r="34" spans="2:44" s="17" customFormat="1" ht="15.95">
      <c r="B34" s="20" t="s">
        <v>474</v>
      </c>
      <c r="C34" s="20" t="s">
        <v>53</v>
      </c>
      <c r="D34" s="20" t="s">
        <v>460</v>
      </c>
      <c r="E34" s="16"/>
      <c r="F34" s="16"/>
      <c r="G34" s="16"/>
      <c r="H34" s="16"/>
      <c r="I34" s="16"/>
      <c r="J34" s="16"/>
      <c r="K34" s="16"/>
      <c r="L34" s="16"/>
      <c r="M34" s="16"/>
      <c r="N34" s="16"/>
      <c r="O34" s="16"/>
      <c r="P34" s="16"/>
      <c r="Q34" s="16"/>
      <c r="R34" s="16"/>
      <c r="S34" s="16"/>
      <c r="T34" s="16"/>
      <c r="U34" s="16"/>
      <c r="V34" s="6"/>
      <c r="W34" s="15"/>
      <c r="X34" s="15"/>
      <c r="Y34" s="15"/>
      <c r="Z34" s="15"/>
      <c r="AA34" s="15"/>
      <c r="AB34" s="15"/>
      <c r="AC34" s="15"/>
      <c r="AD34" s="15"/>
      <c r="AE34" s="15"/>
      <c r="AF34" s="15"/>
      <c r="AG34" s="15"/>
      <c r="AH34" s="15"/>
      <c r="AI34" s="15"/>
      <c r="AJ34" s="15"/>
      <c r="AK34" s="15"/>
      <c r="AL34" s="15"/>
      <c r="AM34" s="15"/>
      <c r="AN34" s="15"/>
      <c r="AO34" s="15"/>
      <c r="AP34" s="15"/>
      <c r="AQ34" s="15"/>
      <c r="AR34" s="15"/>
    </row>
    <row r="35" spans="2:44">
      <c r="B35" s="9" t="s">
        <v>475</v>
      </c>
      <c r="C35" s="2"/>
      <c r="D35" s="2"/>
      <c r="E35" s="9">
        <f t="shared" ref="E35:AR35" si="0">SUM(E22:E32)</f>
        <v>6</v>
      </c>
      <c r="F35" s="9">
        <f t="shared" si="0"/>
        <v>6</v>
      </c>
      <c r="G35" s="9">
        <f t="shared" si="0"/>
        <v>6</v>
      </c>
      <c r="H35" s="9">
        <f t="shared" si="0"/>
        <v>6</v>
      </c>
      <c r="I35" s="9">
        <f t="shared" si="0"/>
        <v>8</v>
      </c>
      <c r="J35" s="9">
        <f t="shared" si="0"/>
        <v>8</v>
      </c>
      <c r="K35" s="9">
        <f t="shared" si="0"/>
        <v>8</v>
      </c>
      <c r="L35" s="9">
        <f t="shared" si="0"/>
        <v>8</v>
      </c>
      <c r="M35" s="9">
        <f t="shared" si="0"/>
        <v>13</v>
      </c>
      <c r="N35" s="9">
        <f t="shared" si="0"/>
        <v>13</v>
      </c>
      <c r="O35" s="9">
        <f t="shared" si="0"/>
        <v>13</v>
      </c>
      <c r="P35" s="9">
        <f t="shared" si="0"/>
        <v>13</v>
      </c>
      <c r="Q35" s="9">
        <f t="shared" si="0"/>
        <v>13</v>
      </c>
      <c r="R35" s="9">
        <f t="shared" si="0"/>
        <v>13</v>
      </c>
      <c r="S35" s="9">
        <f t="shared" si="0"/>
        <v>13</v>
      </c>
      <c r="T35" s="9">
        <f t="shared" si="0"/>
        <v>13</v>
      </c>
      <c r="U35" s="9">
        <f t="shared" si="0"/>
        <v>13</v>
      </c>
      <c r="V35" s="9">
        <f t="shared" si="0"/>
        <v>13</v>
      </c>
      <c r="W35" s="9">
        <f t="shared" si="0"/>
        <v>13</v>
      </c>
      <c r="X35" s="9">
        <f t="shared" si="0"/>
        <v>13</v>
      </c>
      <c r="Y35" s="9">
        <f t="shared" si="0"/>
        <v>13</v>
      </c>
      <c r="Z35" s="9">
        <f t="shared" si="0"/>
        <v>13</v>
      </c>
      <c r="AA35" s="9">
        <f t="shared" si="0"/>
        <v>13</v>
      </c>
      <c r="AB35" s="9">
        <f t="shared" si="0"/>
        <v>13</v>
      </c>
      <c r="AC35" s="9">
        <f t="shared" si="0"/>
        <v>13</v>
      </c>
      <c r="AD35" s="9">
        <f t="shared" si="0"/>
        <v>13</v>
      </c>
      <c r="AE35" s="9">
        <f t="shared" si="0"/>
        <v>13</v>
      </c>
      <c r="AF35" s="9">
        <f t="shared" si="0"/>
        <v>13</v>
      </c>
      <c r="AG35" s="9">
        <f t="shared" si="0"/>
        <v>13</v>
      </c>
      <c r="AH35" s="9">
        <f t="shared" si="0"/>
        <v>13</v>
      </c>
      <c r="AI35" s="9">
        <f t="shared" si="0"/>
        <v>13</v>
      </c>
      <c r="AJ35" s="9">
        <f t="shared" si="0"/>
        <v>13</v>
      </c>
      <c r="AK35" s="9">
        <f t="shared" si="0"/>
        <v>13</v>
      </c>
      <c r="AL35" s="9">
        <f t="shared" si="0"/>
        <v>13</v>
      </c>
      <c r="AM35" s="9">
        <f t="shared" si="0"/>
        <v>13</v>
      </c>
      <c r="AN35" s="9">
        <f t="shared" si="0"/>
        <v>4</v>
      </c>
      <c r="AO35" s="9">
        <f t="shared" si="0"/>
        <v>4</v>
      </c>
      <c r="AP35" s="9">
        <f t="shared" si="0"/>
        <v>4</v>
      </c>
      <c r="AQ35" s="9">
        <f t="shared" si="0"/>
        <v>4</v>
      </c>
      <c r="AR35" s="9">
        <f t="shared" si="0"/>
        <v>0</v>
      </c>
    </row>
    <row r="37" spans="2:44">
      <c r="V37" s="76"/>
    </row>
    <row r="39" spans="2:44">
      <c r="E39" s="2" t="s">
        <v>438</v>
      </c>
      <c r="F39" s="2" t="s">
        <v>439</v>
      </c>
      <c r="G39" s="2" t="s">
        <v>440</v>
      </c>
      <c r="H39" s="2" t="s">
        <v>441</v>
      </c>
      <c r="I39" s="2" t="s">
        <v>442</v>
      </c>
      <c r="J39" s="2" t="s">
        <v>443</v>
      </c>
      <c r="K39" s="2" t="s">
        <v>444</v>
      </c>
      <c r="L39" s="2" t="s">
        <v>445</v>
      </c>
      <c r="M39" s="2" t="s">
        <v>476</v>
      </c>
    </row>
    <row r="40" spans="2:44">
      <c r="B40" s="5" t="s">
        <v>456</v>
      </c>
      <c r="C40" s="5" t="s">
        <v>222</v>
      </c>
      <c r="D40" s="77" t="s">
        <v>457</v>
      </c>
      <c r="E40" s="5" t="s">
        <v>477</v>
      </c>
      <c r="F40" s="5" t="s">
        <v>478</v>
      </c>
      <c r="G40" s="5" t="s">
        <v>479</v>
      </c>
      <c r="H40" s="5" t="s">
        <v>480</v>
      </c>
      <c r="I40" s="5" t="s">
        <v>481</v>
      </c>
      <c r="J40" s="5" t="s">
        <v>482</v>
      </c>
      <c r="K40" s="5" t="s">
        <v>483</v>
      </c>
      <c r="L40" s="5" t="s">
        <v>484</v>
      </c>
      <c r="M40" s="5" t="s">
        <v>485</v>
      </c>
    </row>
    <row r="41" spans="2:44">
      <c r="B41" s="2" t="s">
        <v>458</v>
      </c>
      <c r="C41" s="2" t="s">
        <v>18</v>
      </c>
      <c r="D41" s="78" t="s">
        <v>462</v>
      </c>
      <c r="E41" s="2">
        <f>SUM(E22:H22)/4</f>
        <v>1</v>
      </c>
      <c r="F41" s="2">
        <f>SUM(I22:L22)/4</f>
        <v>1</v>
      </c>
      <c r="G41" s="2">
        <f>SUM(M22:Q22)/5</f>
        <v>1</v>
      </c>
      <c r="H41" s="2">
        <f>SUM(R22:U22)/4</f>
        <v>1</v>
      </c>
      <c r="I41" s="2">
        <f>SUM(V22:Z22)/5</f>
        <v>1</v>
      </c>
      <c r="J41" s="2">
        <f>SUM(AA22:AD22)/4</f>
        <v>1</v>
      </c>
      <c r="K41" s="2">
        <f>SUM(AE22:AH22)/4</f>
        <v>1</v>
      </c>
      <c r="L41" s="2">
        <f>SUM(AI22:AM22)/5</f>
        <v>1</v>
      </c>
      <c r="M41" s="2">
        <f>SUM(AN22:AQ22)/4</f>
        <v>1</v>
      </c>
    </row>
    <row r="42" spans="2:44">
      <c r="B42" s="10" t="s">
        <v>461</v>
      </c>
      <c r="C42" s="10" t="s">
        <v>486</v>
      </c>
      <c r="D42" s="79" t="s">
        <v>462</v>
      </c>
      <c r="E42" s="2">
        <f t="shared" ref="E42:E53" si="1">SUM(E23:H23)/4</f>
        <v>1</v>
      </c>
      <c r="F42" s="2">
        <f t="shared" ref="F42:F53" si="2">SUM(I23:L23)/4</f>
        <v>1</v>
      </c>
      <c r="G42" s="2">
        <f t="shared" ref="G42:G53" si="3">SUM(M23:Q23)/5</f>
        <v>1</v>
      </c>
      <c r="H42" s="2">
        <f t="shared" ref="H42:H53" si="4">SUM(R23:U23)/4</f>
        <v>1</v>
      </c>
      <c r="I42" s="2">
        <f t="shared" ref="I42:I53" si="5">SUM(V23:Z23)/5</f>
        <v>1</v>
      </c>
      <c r="J42" s="2">
        <f t="shared" ref="J42:J53" si="6">SUM(AA23:AD23)/4</f>
        <v>1</v>
      </c>
      <c r="K42" s="2">
        <f t="shared" ref="K42:K53" si="7">SUM(AE23:AH23)/4</f>
        <v>1</v>
      </c>
      <c r="L42" s="2">
        <f t="shared" ref="L42:L53" si="8">SUM(AI23:AM23)/5</f>
        <v>1</v>
      </c>
      <c r="M42" s="2">
        <f t="shared" ref="M42:M53" si="9">SUM(AN23:AQ23)/4</f>
        <v>0</v>
      </c>
    </row>
    <row r="43" spans="2:44">
      <c r="B43" s="10" t="s">
        <v>463</v>
      </c>
      <c r="C43" s="10" t="s">
        <v>18</v>
      </c>
      <c r="D43" s="79" t="s">
        <v>460</v>
      </c>
      <c r="E43" s="2">
        <f t="shared" si="1"/>
        <v>1</v>
      </c>
      <c r="F43" s="2">
        <f t="shared" si="2"/>
        <v>1</v>
      </c>
      <c r="G43" s="2">
        <f t="shared" si="3"/>
        <v>1</v>
      </c>
      <c r="H43" s="2">
        <f t="shared" si="4"/>
        <v>1</v>
      </c>
      <c r="I43" s="2">
        <f t="shared" si="5"/>
        <v>1</v>
      </c>
      <c r="J43" s="2">
        <f t="shared" si="6"/>
        <v>1</v>
      </c>
      <c r="K43" s="2">
        <f t="shared" si="7"/>
        <v>1</v>
      </c>
      <c r="L43" s="2">
        <f t="shared" si="8"/>
        <v>1</v>
      </c>
      <c r="M43" s="2">
        <f t="shared" si="9"/>
        <v>0</v>
      </c>
    </row>
    <row r="44" spans="2:44">
      <c r="B44" s="10" t="s">
        <v>464</v>
      </c>
      <c r="C44" s="10" t="s">
        <v>465</v>
      </c>
      <c r="D44" s="79" t="s">
        <v>460</v>
      </c>
      <c r="E44" s="2">
        <f t="shared" si="1"/>
        <v>1</v>
      </c>
      <c r="F44" s="2">
        <f t="shared" si="2"/>
        <v>1</v>
      </c>
      <c r="G44" s="2">
        <f t="shared" si="3"/>
        <v>1</v>
      </c>
      <c r="H44" s="2">
        <f t="shared" si="4"/>
        <v>1</v>
      </c>
      <c r="I44" s="2">
        <f t="shared" si="5"/>
        <v>1</v>
      </c>
      <c r="J44" s="2">
        <f t="shared" si="6"/>
        <v>1</v>
      </c>
      <c r="K44" s="2">
        <f t="shared" si="7"/>
        <v>1</v>
      </c>
      <c r="L44" s="2">
        <f t="shared" si="8"/>
        <v>1</v>
      </c>
      <c r="M44" s="2">
        <f t="shared" si="9"/>
        <v>1</v>
      </c>
    </row>
    <row r="45" spans="2:44">
      <c r="B45" s="10" t="s">
        <v>466</v>
      </c>
      <c r="C45" s="10" t="s">
        <v>465</v>
      </c>
      <c r="D45" s="79" t="s">
        <v>460</v>
      </c>
      <c r="E45" s="2">
        <f t="shared" si="1"/>
        <v>1</v>
      </c>
      <c r="F45" s="2">
        <f t="shared" si="2"/>
        <v>1</v>
      </c>
      <c r="G45" s="2">
        <f t="shared" si="3"/>
        <v>1</v>
      </c>
      <c r="H45" s="2">
        <f t="shared" si="4"/>
        <v>1</v>
      </c>
      <c r="I45" s="2">
        <f t="shared" si="5"/>
        <v>1</v>
      </c>
      <c r="J45" s="2">
        <f t="shared" si="6"/>
        <v>1</v>
      </c>
      <c r="K45" s="2">
        <f t="shared" si="7"/>
        <v>1</v>
      </c>
      <c r="L45" s="2">
        <f t="shared" si="8"/>
        <v>1</v>
      </c>
      <c r="M45" s="2">
        <f t="shared" si="9"/>
        <v>1</v>
      </c>
    </row>
    <row r="46" spans="2:44">
      <c r="B46" s="10" t="s">
        <v>467</v>
      </c>
      <c r="C46" s="10" t="s">
        <v>53</v>
      </c>
      <c r="D46" s="79" t="s">
        <v>460</v>
      </c>
      <c r="E46" s="2">
        <f t="shared" si="1"/>
        <v>0</v>
      </c>
      <c r="F46" s="2">
        <f t="shared" si="2"/>
        <v>2</v>
      </c>
      <c r="G46" s="2">
        <f t="shared" si="3"/>
        <v>2</v>
      </c>
      <c r="H46" s="2">
        <f t="shared" si="4"/>
        <v>2</v>
      </c>
      <c r="I46" s="2">
        <f t="shared" si="5"/>
        <v>2</v>
      </c>
      <c r="J46" s="2">
        <f t="shared" si="6"/>
        <v>2</v>
      </c>
      <c r="K46" s="2">
        <f t="shared" si="7"/>
        <v>2</v>
      </c>
      <c r="L46" s="2">
        <f t="shared" si="8"/>
        <v>2</v>
      </c>
      <c r="M46" s="2">
        <f t="shared" si="9"/>
        <v>1</v>
      </c>
    </row>
    <row r="47" spans="2:44">
      <c r="B47" s="10" t="s">
        <v>468</v>
      </c>
      <c r="C47" s="10" t="s">
        <v>188</v>
      </c>
      <c r="D47" s="79" t="s">
        <v>460</v>
      </c>
      <c r="E47" s="2">
        <f t="shared" si="1"/>
        <v>0</v>
      </c>
      <c r="F47" s="2">
        <f t="shared" si="2"/>
        <v>0</v>
      </c>
      <c r="G47" s="2">
        <f t="shared" si="3"/>
        <v>2</v>
      </c>
      <c r="H47" s="2">
        <f t="shared" si="4"/>
        <v>2</v>
      </c>
      <c r="I47" s="2">
        <f t="shared" si="5"/>
        <v>2</v>
      </c>
      <c r="J47" s="2">
        <f t="shared" si="6"/>
        <v>2</v>
      </c>
      <c r="K47" s="2">
        <f t="shared" si="7"/>
        <v>2</v>
      </c>
      <c r="L47" s="2">
        <f t="shared" si="8"/>
        <v>2</v>
      </c>
      <c r="M47" s="2">
        <f t="shared" si="9"/>
        <v>0</v>
      </c>
    </row>
    <row r="48" spans="2:44">
      <c r="B48" s="2" t="s">
        <v>469</v>
      </c>
      <c r="C48" s="2" t="s">
        <v>465</v>
      </c>
      <c r="D48" s="78" t="s">
        <v>460</v>
      </c>
      <c r="E48" s="2">
        <f t="shared" si="1"/>
        <v>1</v>
      </c>
      <c r="F48" s="2">
        <f t="shared" si="2"/>
        <v>1</v>
      </c>
      <c r="G48" s="2">
        <f t="shared" si="3"/>
        <v>1</v>
      </c>
      <c r="H48" s="2">
        <f t="shared" si="4"/>
        <v>1</v>
      </c>
      <c r="I48" s="2">
        <f t="shared" si="5"/>
        <v>1</v>
      </c>
      <c r="J48" s="2">
        <f t="shared" si="6"/>
        <v>1</v>
      </c>
      <c r="K48" s="2">
        <f t="shared" si="7"/>
        <v>1</v>
      </c>
      <c r="L48" s="2">
        <f t="shared" si="8"/>
        <v>1</v>
      </c>
      <c r="M48" s="2">
        <f t="shared" si="9"/>
        <v>0</v>
      </c>
    </row>
    <row r="49" spans="2:14">
      <c r="B49" s="2" t="s">
        <v>470</v>
      </c>
      <c r="C49" s="2" t="s">
        <v>18</v>
      </c>
      <c r="D49" s="78" t="s">
        <v>460</v>
      </c>
      <c r="E49" s="2">
        <f t="shared" si="1"/>
        <v>0</v>
      </c>
      <c r="F49" s="2">
        <f t="shared" si="2"/>
        <v>0</v>
      </c>
      <c r="G49" s="2">
        <f t="shared" si="3"/>
        <v>1</v>
      </c>
      <c r="H49" s="2">
        <f t="shared" si="4"/>
        <v>1</v>
      </c>
      <c r="I49" s="2">
        <f t="shared" si="5"/>
        <v>1</v>
      </c>
      <c r="J49" s="2">
        <f t="shared" si="6"/>
        <v>1</v>
      </c>
      <c r="K49" s="2">
        <f t="shared" si="7"/>
        <v>1</v>
      </c>
      <c r="L49" s="2">
        <f t="shared" si="8"/>
        <v>1</v>
      </c>
      <c r="M49" s="2">
        <f t="shared" si="9"/>
        <v>0</v>
      </c>
    </row>
    <row r="50" spans="2:14">
      <c r="B50" s="2" t="s">
        <v>471</v>
      </c>
      <c r="C50" s="2" t="s">
        <v>465</v>
      </c>
      <c r="D50" s="78" t="s">
        <v>460</v>
      </c>
      <c r="E50" s="2">
        <f t="shared" si="1"/>
        <v>0</v>
      </c>
      <c r="F50" s="2">
        <f t="shared" si="2"/>
        <v>0</v>
      </c>
      <c r="G50" s="2">
        <f t="shared" si="3"/>
        <v>1</v>
      </c>
      <c r="H50" s="2">
        <f t="shared" si="4"/>
        <v>1</v>
      </c>
      <c r="I50" s="2">
        <f t="shared" si="5"/>
        <v>1</v>
      </c>
      <c r="J50" s="2">
        <f t="shared" si="6"/>
        <v>1</v>
      </c>
      <c r="K50" s="2">
        <f t="shared" si="7"/>
        <v>1</v>
      </c>
      <c r="L50" s="2">
        <f t="shared" si="8"/>
        <v>1</v>
      </c>
      <c r="M50" s="2">
        <f t="shared" si="9"/>
        <v>0</v>
      </c>
    </row>
    <row r="51" spans="2:14">
      <c r="B51" s="2" t="s">
        <v>472</v>
      </c>
      <c r="C51" s="2" t="s">
        <v>53</v>
      </c>
      <c r="D51" s="78" t="s">
        <v>460</v>
      </c>
      <c r="E51" s="2">
        <f t="shared" si="1"/>
        <v>0</v>
      </c>
      <c r="F51" s="2">
        <f t="shared" si="2"/>
        <v>0</v>
      </c>
      <c r="G51" s="2">
        <f t="shared" si="3"/>
        <v>1</v>
      </c>
      <c r="H51" s="2">
        <f t="shared" si="4"/>
        <v>1</v>
      </c>
      <c r="I51" s="2">
        <f t="shared" si="5"/>
        <v>1</v>
      </c>
      <c r="J51" s="2">
        <f t="shared" si="6"/>
        <v>1</v>
      </c>
      <c r="K51" s="2">
        <f t="shared" si="7"/>
        <v>1</v>
      </c>
      <c r="L51" s="2">
        <f t="shared" si="8"/>
        <v>1</v>
      </c>
      <c r="M51" s="2">
        <f t="shared" si="9"/>
        <v>0</v>
      </c>
    </row>
    <row r="52" spans="2:14">
      <c r="B52" s="20" t="s">
        <v>473</v>
      </c>
      <c r="C52" s="20" t="s">
        <v>465</v>
      </c>
      <c r="D52" s="80" t="s">
        <v>460</v>
      </c>
      <c r="E52" s="2">
        <f t="shared" si="1"/>
        <v>0</v>
      </c>
      <c r="F52" s="2">
        <f t="shared" si="2"/>
        <v>0</v>
      </c>
      <c r="G52" s="2">
        <f t="shared" si="3"/>
        <v>0</v>
      </c>
      <c r="H52" s="2">
        <f t="shared" si="4"/>
        <v>0</v>
      </c>
      <c r="I52" s="2">
        <f t="shared" si="5"/>
        <v>0</v>
      </c>
      <c r="J52" s="2">
        <f t="shared" si="6"/>
        <v>0</v>
      </c>
      <c r="K52" s="2">
        <f t="shared" si="7"/>
        <v>0</v>
      </c>
      <c r="L52" s="2">
        <f t="shared" si="8"/>
        <v>0</v>
      </c>
      <c r="M52" s="2">
        <f t="shared" si="9"/>
        <v>0</v>
      </c>
    </row>
    <row r="53" spans="2:14">
      <c r="B53" s="20" t="s">
        <v>474</v>
      </c>
      <c r="C53" s="20" t="s">
        <v>53</v>
      </c>
      <c r="D53" s="80" t="s">
        <v>460</v>
      </c>
      <c r="E53" s="81">
        <f t="shared" si="1"/>
        <v>0</v>
      </c>
      <c r="F53" s="81">
        <f t="shared" si="2"/>
        <v>0</v>
      </c>
      <c r="G53" s="81">
        <f t="shared" si="3"/>
        <v>0</v>
      </c>
      <c r="H53" s="81">
        <f t="shared" si="4"/>
        <v>0</v>
      </c>
      <c r="I53" s="81">
        <f t="shared" si="5"/>
        <v>0</v>
      </c>
      <c r="J53" s="81">
        <f t="shared" si="6"/>
        <v>0</v>
      </c>
      <c r="K53" s="81">
        <f t="shared" si="7"/>
        <v>0</v>
      </c>
      <c r="L53" s="81">
        <f t="shared" si="8"/>
        <v>0</v>
      </c>
      <c r="M53" s="81">
        <f t="shared" si="9"/>
        <v>0</v>
      </c>
    </row>
    <row r="54" spans="2:14">
      <c r="E54" s="2">
        <f>SUM(E41:E53)</f>
        <v>6</v>
      </c>
      <c r="F54" s="2">
        <f t="shared" ref="F54:M54" si="10">SUM(F41:F53)</f>
        <v>8</v>
      </c>
      <c r="G54" s="2">
        <f t="shared" si="10"/>
        <v>13</v>
      </c>
      <c r="H54" s="2">
        <f t="shared" si="10"/>
        <v>13</v>
      </c>
      <c r="I54" s="2">
        <f t="shared" si="10"/>
        <v>13</v>
      </c>
      <c r="J54" s="2">
        <f t="shared" si="10"/>
        <v>13</v>
      </c>
      <c r="K54" s="2">
        <f t="shared" si="10"/>
        <v>13</v>
      </c>
      <c r="L54" s="2">
        <f t="shared" si="10"/>
        <v>13</v>
      </c>
      <c r="M54" s="2">
        <f t="shared" si="10"/>
        <v>4</v>
      </c>
      <c r="N54" s="2">
        <f>SUM(E54:M54)</f>
        <v>96</v>
      </c>
    </row>
  </sheetData>
  <mergeCells count="32">
    <mergeCell ref="R3:U3"/>
    <mergeCell ref="V3:Z3"/>
    <mergeCell ref="AA3:AD3"/>
    <mergeCell ref="E4:H4"/>
    <mergeCell ref="R4:U4"/>
    <mergeCell ref="V4:Z4"/>
    <mergeCell ref="AA4:AD4"/>
    <mergeCell ref="AE3:AH3"/>
    <mergeCell ref="AI3:AM3"/>
    <mergeCell ref="E20:H20"/>
    <mergeCell ref="I20:L20"/>
    <mergeCell ref="M20:Q20"/>
    <mergeCell ref="R20:U20"/>
    <mergeCell ref="V20:Z20"/>
    <mergeCell ref="AA20:AD20"/>
    <mergeCell ref="AE20:AH20"/>
    <mergeCell ref="AE4:AH4"/>
    <mergeCell ref="AI4:AM4"/>
    <mergeCell ref="I4:L4"/>
    <mergeCell ref="M4:Q4"/>
    <mergeCell ref="E3:H3"/>
    <mergeCell ref="I3:L3"/>
    <mergeCell ref="M3:Q3"/>
    <mergeCell ref="AI20:AM20"/>
    <mergeCell ref="E21:H21"/>
    <mergeCell ref="I21:L21"/>
    <mergeCell ref="M21:Q21"/>
    <mergeCell ref="R21:U21"/>
    <mergeCell ref="V21:Z21"/>
    <mergeCell ref="AA21:AD21"/>
    <mergeCell ref="AE21:AH21"/>
    <mergeCell ref="AI21:AM21"/>
  </mergeCells>
  <phoneticPr fontId="2"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98DE2-7C58-4A01-88C0-3AFAAB4365A9}">
  <dimension ref="A2:BQ46"/>
  <sheetViews>
    <sheetView workbookViewId="0">
      <selection activeCell="AH33" sqref="AH33"/>
    </sheetView>
  </sheetViews>
  <sheetFormatPr defaultRowHeight="14.45"/>
  <cols>
    <col min="2" max="2" width="22.140625" customWidth="1"/>
    <col min="4" max="4" width="46.85546875" bestFit="1" customWidth="1"/>
    <col min="5" max="5" width="10.42578125" bestFit="1" customWidth="1"/>
    <col min="21" max="21" width="9.140625" style="21"/>
  </cols>
  <sheetData>
    <row r="2" spans="4:44">
      <c r="D2" s="26" t="s">
        <v>435</v>
      </c>
      <c r="E2" s="27">
        <v>42465</v>
      </c>
      <c r="F2" s="27">
        <v>42472</v>
      </c>
      <c r="G2" s="27">
        <v>42479</v>
      </c>
      <c r="H2" s="27">
        <v>42486</v>
      </c>
      <c r="I2" s="27">
        <v>42493</v>
      </c>
      <c r="J2" s="27">
        <v>42500</v>
      </c>
      <c r="K2" s="27">
        <v>42507</v>
      </c>
      <c r="L2" s="27">
        <v>42514</v>
      </c>
      <c r="M2" s="27">
        <v>42521</v>
      </c>
      <c r="N2" s="27">
        <v>42528</v>
      </c>
      <c r="O2" s="27">
        <v>42535</v>
      </c>
      <c r="P2" s="27">
        <v>42542</v>
      </c>
      <c r="Q2" s="27">
        <v>42549</v>
      </c>
      <c r="R2" s="27">
        <v>42556</v>
      </c>
      <c r="S2" s="27">
        <v>42563</v>
      </c>
      <c r="T2" s="27">
        <v>42570</v>
      </c>
      <c r="U2" s="27">
        <v>42577</v>
      </c>
      <c r="V2" s="27">
        <v>42584</v>
      </c>
      <c r="W2" s="27">
        <v>42591</v>
      </c>
      <c r="X2" s="27">
        <v>42598</v>
      </c>
      <c r="Y2" s="27">
        <v>42605</v>
      </c>
      <c r="Z2" s="27">
        <v>42612</v>
      </c>
      <c r="AA2" s="27">
        <v>42619</v>
      </c>
      <c r="AB2" s="27">
        <v>42626</v>
      </c>
      <c r="AC2" s="27">
        <v>42633</v>
      </c>
      <c r="AD2" s="27">
        <v>42640</v>
      </c>
      <c r="AE2" s="27">
        <v>42647</v>
      </c>
      <c r="AF2" s="27">
        <v>42654</v>
      </c>
      <c r="AG2" s="27">
        <v>42661</v>
      </c>
      <c r="AH2" s="27">
        <v>42668</v>
      </c>
      <c r="AI2" s="27">
        <v>42675</v>
      </c>
      <c r="AJ2" s="27">
        <v>42682</v>
      </c>
      <c r="AK2" s="27">
        <v>42689</v>
      </c>
      <c r="AL2" s="27">
        <v>42696</v>
      </c>
      <c r="AM2" s="27">
        <v>42703</v>
      </c>
      <c r="AN2" s="27">
        <v>42710</v>
      </c>
      <c r="AO2" s="27">
        <v>42717</v>
      </c>
      <c r="AP2" s="27">
        <v>42724</v>
      </c>
      <c r="AQ2" s="27">
        <v>42731</v>
      </c>
      <c r="AR2" s="27">
        <v>42738</v>
      </c>
    </row>
    <row r="3" spans="4:44">
      <c r="D3" s="26" t="s">
        <v>436</v>
      </c>
      <c r="E3" s="226">
        <v>1</v>
      </c>
      <c r="F3" s="227"/>
      <c r="G3" s="227"/>
      <c r="H3" s="228"/>
      <c r="I3" s="226">
        <v>2</v>
      </c>
      <c r="J3" s="227"/>
      <c r="K3" s="227"/>
      <c r="L3" s="228"/>
      <c r="M3" s="226">
        <v>3</v>
      </c>
      <c r="N3" s="227"/>
      <c r="O3" s="227"/>
      <c r="P3" s="227"/>
      <c r="Q3" s="228"/>
      <c r="R3" s="226">
        <v>4</v>
      </c>
      <c r="S3" s="227"/>
      <c r="T3" s="227"/>
      <c r="U3" s="228"/>
      <c r="V3" s="226">
        <v>5</v>
      </c>
      <c r="W3" s="227"/>
      <c r="X3" s="227"/>
      <c r="Y3" s="227"/>
      <c r="Z3" s="228"/>
      <c r="AA3" s="226">
        <v>6</v>
      </c>
      <c r="AB3" s="227"/>
      <c r="AC3" s="227"/>
      <c r="AD3" s="228"/>
      <c r="AE3" s="226">
        <v>7</v>
      </c>
      <c r="AF3" s="227"/>
      <c r="AG3" s="227"/>
      <c r="AH3" s="228"/>
      <c r="AI3" s="226">
        <v>8</v>
      </c>
      <c r="AJ3" s="227"/>
      <c r="AK3" s="227"/>
      <c r="AL3" s="227"/>
      <c r="AM3" s="228"/>
      <c r="AN3" s="27"/>
      <c r="AO3" s="2"/>
      <c r="AP3" s="2"/>
      <c r="AQ3" s="2"/>
      <c r="AR3" s="2"/>
    </row>
    <row r="4" spans="4:44">
      <c r="D4" s="26" t="s">
        <v>437</v>
      </c>
      <c r="E4" s="229" t="s">
        <v>438</v>
      </c>
      <c r="F4" s="230"/>
      <c r="G4" s="230"/>
      <c r="H4" s="231"/>
      <c r="I4" s="232" t="s">
        <v>439</v>
      </c>
      <c r="J4" s="232"/>
      <c r="K4" s="232"/>
      <c r="L4" s="232"/>
      <c r="M4" s="230" t="s">
        <v>440</v>
      </c>
      <c r="N4" s="230"/>
      <c r="O4" s="230"/>
      <c r="P4" s="230"/>
      <c r="Q4" s="231"/>
      <c r="R4" s="229" t="s">
        <v>441</v>
      </c>
      <c r="S4" s="230"/>
      <c r="T4" s="230"/>
      <c r="U4" s="231"/>
      <c r="V4" s="233" t="s">
        <v>442</v>
      </c>
      <c r="W4" s="234"/>
      <c r="X4" s="234"/>
      <c r="Y4" s="234"/>
      <c r="Z4" s="235"/>
      <c r="AA4" s="233" t="s">
        <v>443</v>
      </c>
      <c r="AB4" s="234"/>
      <c r="AC4" s="234"/>
      <c r="AD4" s="235"/>
      <c r="AE4" s="233" t="s">
        <v>444</v>
      </c>
      <c r="AF4" s="234"/>
      <c r="AG4" s="234"/>
      <c r="AH4" s="235"/>
      <c r="AI4" s="233" t="s">
        <v>445</v>
      </c>
      <c r="AJ4" s="234"/>
      <c r="AK4" s="234"/>
      <c r="AL4" s="234"/>
      <c r="AM4" s="235"/>
      <c r="AN4" s="26"/>
      <c r="AO4" s="2"/>
      <c r="AP4" s="2"/>
      <c r="AQ4" s="2"/>
      <c r="AR4" s="2"/>
    </row>
    <row r="5" spans="4:44">
      <c r="D5" s="2" t="s">
        <v>446</v>
      </c>
      <c r="E5" s="28"/>
      <c r="F5" s="28"/>
      <c r="G5" s="28"/>
      <c r="H5" s="28"/>
      <c r="I5" s="28"/>
      <c r="J5" s="28"/>
      <c r="K5" s="25"/>
      <c r="L5" s="25"/>
      <c r="M5" s="25"/>
      <c r="N5" s="25"/>
      <c r="O5" s="25"/>
      <c r="P5" s="25"/>
      <c r="Q5" s="25"/>
      <c r="R5" s="25"/>
      <c r="S5" s="25"/>
      <c r="T5" s="2"/>
      <c r="U5" s="20"/>
      <c r="V5" s="2"/>
      <c r="W5" s="2"/>
      <c r="X5" s="2"/>
      <c r="Y5" s="2"/>
      <c r="Z5" s="2"/>
      <c r="AA5" s="2"/>
      <c r="AB5" s="2"/>
      <c r="AC5" s="2"/>
      <c r="AD5" s="2"/>
      <c r="AE5" s="2"/>
      <c r="AF5" s="2"/>
      <c r="AG5" s="2"/>
      <c r="AH5" s="2"/>
      <c r="AI5" s="2"/>
      <c r="AJ5" s="2"/>
      <c r="AK5" s="2"/>
      <c r="AL5" s="2"/>
      <c r="AM5" s="2"/>
      <c r="AN5" s="2"/>
      <c r="AO5" s="2"/>
      <c r="AP5" s="2"/>
      <c r="AQ5" s="2"/>
      <c r="AR5" s="2"/>
    </row>
    <row r="6" spans="4:44">
      <c r="D6" s="2" t="s">
        <v>487</v>
      </c>
      <c r="E6" s="25"/>
      <c r="F6" s="25"/>
      <c r="G6" s="29"/>
      <c r="H6" s="29"/>
      <c r="I6" s="29"/>
      <c r="J6" s="29"/>
      <c r="K6" s="29"/>
      <c r="L6" s="29"/>
      <c r="M6" s="25"/>
      <c r="N6" s="25"/>
      <c r="O6" s="25"/>
      <c r="P6" s="25"/>
      <c r="Q6" s="25"/>
      <c r="R6" s="25"/>
      <c r="S6" s="25"/>
      <c r="T6" s="2"/>
      <c r="U6" s="20"/>
      <c r="V6" s="2"/>
      <c r="W6" s="2"/>
      <c r="X6" s="2"/>
      <c r="Y6" s="2"/>
      <c r="Z6" s="2"/>
      <c r="AA6" s="2"/>
      <c r="AB6" s="2"/>
      <c r="AC6" s="2"/>
      <c r="AD6" s="2"/>
      <c r="AE6" s="2"/>
      <c r="AF6" s="2"/>
      <c r="AG6" s="2"/>
      <c r="AH6" s="2"/>
      <c r="AI6" s="2"/>
      <c r="AJ6" s="2"/>
      <c r="AK6" s="2"/>
      <c r="AL6" s="2"/>
      <c r="AM6" s="2"/>
      <c r="AN6" s="2"/>
      <c r="AO6" s="2"/>
      <c r="AP6" s="2"/>
      <c r="AQ6" s="2"/>
      <c r="AR6" s="2"/>
    </row>
    <row r="7" spans="4:44">
      <c r="D7" s="2" t="s">
        <v>448</v>
      </c>
      <c r="E7" s="25"/>
      <c r="F7" s="25"/>
      <c r="G7" s="25"/>
      <c r="H7" s="25"/>
      <c r="I7" s="25"/>
      <c r="J7" s="25"/>
      <c r="K7" s="25"/>
      <c r="L7" s="25"/>
      <c r="M7" s="25"/>
      <c r="N7" s="25"/>
      <c r="O7" s="25"/>
      <c r="P7" s="25"/>
      <c r="Q7" s="25"/>
      <c r="R7" s="25"/>
      <c r="S7" s="25"/>
      <c r="T7" s="2"/>
      <c r="U7" s="20"/>
      <c r="V7" s="2"/>
      <c r="W7" s="2"/>
      <c r="X7" s="2"/>
      <c r="Y7" s="2"/>
      <c r="Z7" s="2"/>
      <c r="AA7" s="2"/>
      <c r="AB7" s="2"/>
      <c r="AC7" s="2"/>
      <c r="AD7" s="2"/>
      <c r="AE7" s="2"/>
      <c r="AF7" s="2"/>
      <c r="AG7" s="2"/>
      <c r="AH7" s="2"/>
      <c r="AI7" s="2"/>
      <c r="AJ7" s="2"/>
      <c r="AK7" s="2"/>
      <c r="AL7" s="2"/>
      <c r="AM7" s="2"/>
      <c r="AN7" s="2"/>
      <c r="AO7" s="2"/>
      <c r="AP7" s="2"/>
      <c r="AQ7" s="2"/>
      <c r="AR7" s="2"/>
    </row>
    <row r="8" spans="4:44">
      <c r="D8" s="2" t="s">
        <v>488</v>
      </c>
      <c r="E8" s="25"/>
      <c r="F8" s="25"/>
      <c r="G8" s="25"/>
      <c r="H8" s="25"/>
      <c r="I8" s="25"/>
      <c r="J8" s="25"/>
      <c r="K8" s="25"/>
      <c r="L8" s="25"/>
      <c r="M8" s="30"/>
      <c r="N8" s="30"/>
      <c r="O8" s="30"/>
      <c r="P8" s="30"/>
      <c r="Q8" s="30"/>
      <c r="R8" s="31"/>
      <c r="S8" s="31"/>
      <c r="T8" s="32"/>
      <c r="U8" s="33"/>
      <c r="V8" s="34"/>
      <c r="W8" s="34"/>
      <c r="X8" s="34"/>
      <c r="Y8" s="34"/>
      <c r="Z8" s="34"/>
      <c r="AA8" s="35"/>
      <c r="AB8" s="35"/>
      <c r="AC8" s="35"/>
      <c r="AD8" s="35"/>
      <c r="AE8" s="43"/>
      <c r="AF8" s="43"/>
      <c r="AG8" s="43"/>
      <c r="AH8" s="43"/>
      <c r="AI8" s="2"/>
      <c r="AJ8" s="2"/>
      <c r="AK8" s="2"/>
      <c r="AL8" s="2"/>
      <c r="AM8" s="2"/>
      <c r="AN8" s="2"/>
      <c r="AO8" s="2"/>
      <c r="AP8" s="2"/>
      <c r="AQ8" s="2"/>
      <c r="AR8" s="2"/>
    </row>
    <row r="9" spans="4:44">
      <c r="D9" s="2" t="s">
        <v>450</v>
      </c>
      <c r="E9" s="25"/>
      <c r="F9" s="25"/>
      <c r="G9" s="25"/>
      <c r="H9" s="25"/>
      <c r="I9" s="25"/>
      <c r="J9" s="25"/>
      <c r="K9" s="25"/>
      <c r="L9" s="25"/>
      <c r="M9" s="25"/>
      <c r="N9" s="25"/>
      <c r="O9" s="25"/>
      <c r="P9" s="36"/>
      <c r="Q9" s="36"/>
      <c r="R9" s="36"/>
      <c r="S9" s="36"/>
      <c r="T9" s="37"/>
      <c r="U9" s="38"/>
      <c r="V9" s="37"/>
      <c r="W9" s="37"/>
      <c r="X9" s="37"/>
      <c r="Y9" s="41"/>
      <c r="Z9" s="41"/>
      <c r="AA9" s="41"/>
      <c r="AB9" s="41"/>
      <c r="AC9" s="42"/>
      <c r="AD9" s="42"/>
      <c r="AE9" s="42"/>
      <c r="AF9" s="42"/>
      <c r="AG9" s="44"/>
      <c r="AH9" s="44"/>
      <c r="AI9" s="44"/>
      <c r="AJ9" s="44"/>
      <c r="AK9" s="2"/>
      <c r="AL9" s="2"/>
      <c r="AM9" s="2"/>
      <c r="AN9" s="2"/>
      <c r="AO9" s="2"/>
      <c r="AP9" s="2"/>
      <c r="AQ9" s="2"/>
      <c r="AR9" s="2"/>
    </row>
    <row r="10" spans="4:44">
      <c r="D10" s="2" t="s">
        <v>451</v>
      </c>
      <c r="E10" s="25"/>
      <c r="F10" s="25"/>
      <c r="G10" s="25"/>
      <c r="H10" s="25"/>
      <c r="I10" s="25"/>
      <c r="J10" s="25"/>
      <c r="K10" s="25"/>
      <c r="L10" s="25"/>
      <c r="M10" s="25"/>
      <c r="N10" s="25"/>
      <c r="O10" s="25"/>
      <c r="P10" s="25"/>
      <c r="Q10" s="25"/>
      <c r="R10" s="39"/>
      <c r="S10" s="39"/>
      <c r="T10" s="39"/>
      <c r="U10" s="20"/>
      <c r="V10" s="39"/>
      <c r="W10" s="39"/>
      <c r="X10" s="39"/>
      <c r="Y10" s="2"/>
      <c r="Z10" s="20"/>
      <c r="AA10" s="39"/>
      <c r="AB10" s="39"/>
      <c r="AC10" s="39"/>
      <c r="AD10" s="2"/>
      <c r="AE10" s="39"/>
      <c r="AF10" s="39"/>
      <c r="AG10" s="39"/>
      <c r="AH10" s="2"/>
      <c r="AI10" s="39"/>
      <c r="AJ10" s="39"/>
      <c r="AK10" s="39"/>
      <c r="AL10" s="2"/>
      <c r="AM10" s="2"/>
      <c r="AN10" s="2"/>
      <c r="AO10" s="2"/>
      <c r="AP10" s="2"/>
      <c r="AQ10" s="2"/>
      <c r="AR10" s="2"/>
    </row>
    <row r="11" spans="4:44">
      <c r="D11" s="2" t="s">
        <v>452</v>
      </c>
      <c r="E11" s="25"/>
      <c r="F11" s="25"/>
      <c r="G11" s="25"/>
      <c r="H11" s="25"/>
      <c r="I11" s="25"/>
      <c r="J11" s="25"/>
      <c r="K11" s="25"/>
      <c r="L11" s="25"/>
      <c r="M11" s="25"/>
      <c r="N11" s="25"/>
      <c r="O11" s="25"/>
      <c r="P11" s="25"/>
      <c r="Q11" s="25"/>
      <c r="R11" s="40"/>
      <c r="S11" s="40"/>
      <c r="T11" s="40"/>
      <c r="U11" s="20"/>
      <c r="V11" s="40"/>
      <c r="W11" s="40"/>
      <c r="X11" s="40"/>
      <c r="Y11" s="2"/>
      <c r="Z11" s="20"/>
      <c r="AA11" s="40"/>
      <c r="AB11" s="40"/>
      <c r="AC11" s="40"/>
      <c r="AD11" s="2"/>
      <c r="AE11" s="40"/>
      <c r="AF11" s="40"/>
      <c r="AG11" s="40"/>
      <c r="AH11" s="2"/>
      <c r="AI11" s="40"/>
      <c r="AJ11" s="40"/>
      <c r="AK11" s="40"/>
      <c r="AL11" s="2"/>
      <c r="AM11" s="2"/>
      <c r="AN11" s="2"/>
      <c r="AO11" s="2"/>
      <c r="AP11" s="2"/>
      <c r="AQ11" s="2"/>
      <c r="AR11" s="2"/>
    </row>
    <row r="12" spans="4:44">
      <c r="D12" s="2" t="s">
        <v>217</v>
      </c>
      <c r="E12" s="25"/>
      <c r="F12" s="25"/>
      <c r="G12" s="25"/>
      <c r="H12" s="25"/>
      <c r="I12" s="25"/>
      <c r="J12" s="25"/>
      <c r="K12" s="25"/>
      <c r="L12" s="25"/>
      <c r="M12" s="25"/>
      <c r="N12" s="25"/>
      <c r="O12" s="25"/>
      <c r="P12" s="25"/>
      <c r="Q12" s="25"/>
      <c r="R12" s="25"/>
      <c r="S12" s="25"/>
      <c r="U12" s="46"/>
      <c r="V12" s="46"/>
      <c r="W12" s="20"/>
      <c r="X12" s="25"/>
      <c r="Y12" s="46"/>
      <c r="Z12" s="46"/>
      <c r="AA12" s="20"/>
      <c r="AB12" s="20"/>
      <c r="AD12" s="46"/>
      <c r="AE12" s="46"/>
      <c r="AF12" s="20"/>
      <c r="AH12" s="46"/>
      <c r="AI12" s="46"/>
      <c r="AJ12" s="2"/>
      <c r="AK12" s="2"/>
      <c r="AL12" s="46"/>
      <c r="AM12" s="46"/>
      <c r="AN12" s="2"/>
      <c r="AO12" s="2"/>
      <c r="AP12" s="2"/>
      <c r="AQ12" s="2"/>
      <c r="AR12" s="2"/>
    </row>
    <row r="13" spans="4:44">
      <c r="D13" s="2" t="s">
        <v>453</v>
      </c>
      <c r="E13" s="25"/>
      <c r="F13" s="25"/>
      <c r="G13" s="25"/>
      <c r="H13" s="25"/>
      <c r="I13" s="25"/>
      <c r="J13" s="25"/>
      <c r="K13" s="25"/>
      <c r="L13" s="25"/>
      <c r="M13" s="25"/>
      <c r="N13" s="25"/>
      <c r="O13" s="25"/>
      <c r="P13" s="25"/>
      <c r="Q13" s="25"/>
      <c r="R13" s="25"/>
      <c r="S13" s="25"/>
      <c r="T13" s="2"/>
      <c r="U13" s="20"/>
      <c r="V13" s="2"/>
      <c r="W13" s="2"/>
      <c r="X13" s="2"/>
      <c r="Y13" s="2"/>
      <c r="Z13" s="2"/>
      <c r="AA13" s="2"/>
      <c r="AB13" s="2"/>
      <c r="AC13" s="2"/>
      <c r="AD13" s="2"/>
      <c r="AE13" s="2"/>
      <c r="AF13" s="2"/>
      <c r="AG13" s="2"/>
      <c r="AH13" s="2"/>
      <c r="AI13" s="2"/>
      <c r="AJ13" s="2"/>
      <c r="AK13" s="2"/>
      <c r="AL13" s="2"/>
      <c r="AM13" s="2"/>
      <c r="AN13" s="2"/>
      <c r="AO13" s="2"/>
      <c r="AP13" s="2"/>
      <c r="AQ13" s="2"/>
      <c r="AR13" s="2"/>
    </row>
    <row r="14" spans="4:44">
      <c r="D14" s="2" t="s">
        <v>454</v>
      </c>
      <c r="E14" s="25"/>
      <c r="F14" s="25"/>
      <c r="G14" s="25"/>
      <c r="H14" s="25"/>
      <c r="I14" s="25"/>
      <c r="J14" s="25"/>
      <c r="K14" s="25"/>
      <c r="L14" s="25"/>
      <c r="M14" s="25"/>
      <c r="N14" s="25"/>
      <c r="O14" s="25"/>
      <c r="P14" s="25"/>
      <c r="Q14" s="25"/>
      <c r="R14" s="25"/>
      <c r="S14" s="25"/>
      <c r="T14" s="2"/>
      <c r="U14" s="20"/>
      <c r="V14" s="2"/>
      <c r="W14" s="45"/>
      <c r="X14" s="45"/>
      <c r="Y14" s="45"/>
      <c r="Z14" s="45"/>
      <c r="AA14" s="45"/>
      <c r="AB14" s="45"/>
      <c r="AC14" s="45"/>
      <c r="AD14" s="45"/>
      <c r="AE14" s="45"/>
      <c r="AF14" s="45"/>
      <c r="AG14" s="45"/>
      <c r="AH14" s="45"/>
      <c r="AI14" s="45"/>
      <c r="AJ14" s="45"/>
      <c r="AK14" s="45"/>
      <c r="AL14" s="45"/>
      <c r="AM14" s="45"/>
      <c r="AN14" s="45"/>
      <c r="AO14" s="45"/>
      <c r="AP14" s="45"/>
      <c r="AQ14" s="45"/>
      <c r="AR14" s="2"/>
    </row>
    <row r="15" spans="4:44">
      <c r="D15" s="2" t="s">
        <v>455</v>
      </c>
      <c r="E15" s="25"/>
      <c r="F15" s="25"/>
      <c r="G15" s="25"/>
      <c r="H15" s="25"/>
      <c r="I15" s="25"/>
      <c r="J15" s="25"/>
      <c r="K15" s="25"/>
      <c r="L15" s="25"/>
      <c r="M15" s="25"/>
      <c r="N15" s="25"/>
      <c r="O15" s="25"/>
      <c r="P15" s="25"/>
      <c r="Q15" s="25"/>
      <c r="R15" s="25"/>
      <c r="S15" s="25"/>
      <c r="T15" s="2"/>
      <c r="U15" s="20"/>
      <c r="V15" s="2"/>
      <c r="W15" s="2"/>
      <c r="X15" s="2"/>
      <c r="Y15" s="2"/>
      <c r="Z15" s="2"/>
      <c r="AA15" s="2"/>
      <c r="AB15" s="2"/>
      <c r="AC15" s="2"/>
      <c r="AD15" s="2"/>
      <c r="AE15" s="2"/>
      <c r="AF15" s="2"/>
      <c r="AG15" s="2"/>
      <c r="AH15" s="2"/>
      <c r="AI15" s="2"/>
      <c r="AJ15" s="2"/>
      <c r="AK15" s="2"/>
      <c r="AL15" s="2"/>
      <c r="AM15" s="2"/>
      <c r="AN15" s="2"/>
      <c r="AO15" s="2"/>
      <c r="AP15" s="2"/>
      <c r="AQ15" s="2"/>
      <c r="AR15" s="2"/>
    </row>
    <row r="16" spans="4:44">
      <c r="E16" s="25"/>
      <c r="F16" s="25"/>
      <c r="G16" s="25"/>
      <c r="H16" s="25"/>
      <c r="I16" s="25"/>
      <c r="J16" s="25"/>
      <c r="K16" s="25"/>
      <c r="L16" s="25"/>
      <c r="M16" s="25"/>
      <c r="N16" s="25"/>
      <c r="O16" s="25"/>
      <c r="P16" s="25"/>
      <c r="Q16" s="25"/>
      <c r="R16" s="25"/>
      <c r="S16" s="25"/>
    </row>
    <row r="17" spans="1:69">
      <c r="D17" s="1" t="s">
        <v>489</v>
      </c>
      <c r="E17" s="1" t="s">
        <v>477</v>
      </c>
      <c r="F17" s="1"/>
      <c r="G17" s="1"/>
      <c r="H17" s="1"/>
      <c r="I17" s="1" t="s">
        <v>478</v>
      </c>
      <c r="J17" s="1" t="s">
        <v>479</v>
      </c>
      <c r="K17" s="1" t="s">
        <v>480</v>
      </c>
      <c r="L17" s="1" t="s">
        <v>481</v>
      </c>
      <c r="M17" s="1" t="s">
        <v>482</v>
      </c>
      <c r="N17" s="1" t="s">
        <v>483</v>
      </c>
      <c r="O17" s="1" t="s">
        <v>484</v>
      </c>
      <c r="P17" s="1" t="s">
        <v>485</v>
      </c>
      <c r="Q17" s="1" t="s">
        <v>490</v>
      </c>
      <c r="R17" s="1" t="s">
        <v>491</v>
      </c>
      <c r="S17" s="1" t="s">
        <v>492</v>
      </c>
      <c r="T17" s="1" t="s">
        <v>493</v>
      </c>
      <c r="U17" s="19"/>
    </row>
    <row r="18" spans="1:69">
      <c r="D18" s="3" t="s">
        <v>446</v>
      </c>
      <c r="E18" s="2"/>
      <c r="F18" s="2"/>
      <c r="G18" s="2"/>
      <c r="H18" s="2"/>
      <c r="I18" s="2"/>
      <c r="J18" s="2"/>
      <c r="K18" s="2"/>
      <c r="L18" s="2"/>
      <c r="M18" s="2"/>
      <c r="N18" s="2"/>
      <c r="O18" s="2"/>
      <c r="P18" s="2"/>
      <c r="Q18" s="2"/>
      <c r="R18" s="2"/>
      <c r="S18" s="2"/>
      <c r="T18" s="2"/>
    </row>
    <row r="19" spans="1:69">
      <c r="D19" s="3" t="s">
        <v>494</v>
      </c>
      <c r="E19" s="2"/>
      <c r="F19" s="2"/>
      <c r="G19" s="2"/>
      <c r="H19" s="2"/>
      <c r="I19" s="2"/>
      <c r="J19" s="2"/>
      <c r="K19" s="2"/>
      <c r="L19" s="2"/>
      <c r="M19" s="2"/>
      <c r="N19" s="2"/>
      <c r="O19" s="2"/>
      <c r="P19" s="2"/>
      <c r="Q19" s="2"/>
      <c r="R19" s="2"/>
      <c r="S19" s="2"/>
      <c r="T19" s="2"/>
    </row>
    <row r="20" spans="1:69">
      <c r="D20" s="3" t="s">
        <v>448</v>
      </c>
      <c r="E20" s="2"/>
      <c r="F20" s="2"/>
      <c r="G20" s="2"/>
      <c r="H20" s="2"/>
      <c r="I20" s="2"/>
      <c r="J20" s="2"/>
      <c r="K20" s="2"/>
      <c r="L20" s="2"/>
      <c r="M20" s="2"/>
      <c r="N20" s="2"/>
      <c r="O20" s="2"/>
      <c r="P20" s="2"/>
      <c r="Q20" s="2"/>
      <c r="R20" s="2"/>
      <c r="S20" s="2"/>
      <c r="T20" s="2"/>
    </row>
    <row r="21" spans="1:69">
      <c r="D21" s="3" t="s">
        <v>488</v>
      </c>
      <c r="E21" s="2"/>
      <c r="F21" s="2"/>
      <c r="G21" s="2"/>
      <c r="H21" s="2"/>
      <c r="I21" s="2"/>
      <c r="J21" s="2"/>
      <c r="K21" s="2"/>
      <c r="L21" s="2"/>
      <c r="M21" s="2"/>
      <c r="N21" s="2"/>
      <c r="O21" s="2"/>
      <c r="P21" s="2"/>
      <c r="Q21" s="2"/>
      <c r="R21" s="2"/>
      <c r="S21" s="2"/>
      <c r="T21" s="2"/>
    </row>
    <row r="22" spans="1:69">
      <c r="D22" s="3" t="s">
        <v>450</v>
      </c>
      <c r="E22" s="2"/>
      <c r="F22" s="2"/>
      <c r="G22" s="2"/>
      <c r="H22" s="2"/>
      <c r="I22" s="2"/>
      <c r="J22" s="2"/>
      <c r="K22" s="2"/>
      <c r="L22" s="2"/>
      <c r="M22" s="2"/>
      <c r="N22" s="2"/>
      <c r="O22" s="2"/>
      <c r="P22" s="2"/>
      <c r="Q22" s="2"/>
      <c r="R22" s="2"/>
      <c r="S22" s="2"/>
      <c r="T22" s="2"/>
    </row>
    <row r="23" spans="1:69">
      <c r="D23" s="4" t="s">
        <v>495</v>
      </c>
      <c r="E23" s="2"/>
      <c r="F23" s="2"/>
      <c r="G23" s="2"/>
      <c r="H23" s="2"/>
      <c r="I23" s="2"/>
      <c r="J23" s="2"/>
      <c r="K23" s="2"/>
      <c r="L23" s="2"/>
      <c r="M23" s="2"/>
      <c r="N23" s="2"/>
      <c r="O23" s="2"/>
      <c r="P23" s="2"/>
      <c r="Q23" s="2"/>
      <c r="R23" s="2"/>
      <c r="S23" s="2"/>
      <c r="T23" s="2"/>
    </row>
    <row r="24" spans="1:69">
      <c r="D24" s="4" t="s">
        <v>453</v>
      </c>
      <c r="E24" s="2"/>
      <c r="F24" s="2"/>
      <c r="G24" s="2"/>
      <c r="H24" s="2"/>
      <c r="I24" s="2"/>
      <c r="J24" s="2"/>
      <c r="K24" s="2"/>
      <c r="L24" s="2"/>
      <c r="M24" s="2"/>
      <c r="N24" s="2"/>
      <c r="O24" s="2"/>
      <c r="P24" s="2"/>
      <c r="Q24" s="2"/>
      <c r="R24" s="2"/>
      <c r="S24" s="2"/>
      <c r="T24" s="2"/>
    </row>
    <row r="25" spans="1:69">
      <c r="D25" s="4" t="s">
        <v>454</v>
      </c>
      <c r="E25" s="2"/>
      <c r="F25" s="2"/>
      <c r="G25" s="2"/>
      <c r="H25" s="2"/>
      <c r="I25" s="2"/>
      <c r="J25" s="2"/>
      <c r="K25" s="2"/>
      <c r="L25" s="2"/>
      <c r="M25" s="2"/>
      <c r="N25" s="2"/>
      <c r="O25" s="2"/>
      <c r="P25" s="2"/>
      <c r="Q25" s="2"/>
      <c r="R25" s="2"/>
      <c r="S25" s="2"/>
      <c r="T25" s="2"/>
    </row>
    <row r="26" spans="1:69">
      <c r="D26" s="4" t="s">
        <v>455</v>
      </c>
      <c r="E26" s="2"/>
      <c r="F26" s="2"/>
      <c r="G26" s="2"/>
      <c r="H26" s="2"/>
      <c r="I26" s="2"/>
      <c r="J26" s="2"/>
      <c r="K26" s="2"/>
      <c r="L26" s="2"/>
      <c r="M26" s="2"/>
      <c r="N26" s="2"/>
      <c r="O26" s="2"/>
      <c r="P26" s="2"/>
      <c r="Q26" s="2"/>
      <c r="R26" s="2"/>
      <c r="S26" s="2"/>
      <c r="T26" s="2"/>
    </row>
    <row r="30" spans="1:69">
      <c r="B30" s="5" t="s">
        <v>456</v>
      </c>
      <c r="C30" s="5" t="s">
        <v>222</v>
      </c>
      <c r="D30" s="5" t="s">
        <v>457</v>
      </c>
      <c r="E30" s="5" t="s">
        <v>477</v>
      </c>
      <c r="F30" s="5"/>
      <c r="G30" s="5"/>
      <c r="H30" s="5"/>
      <c r="I30" s="5" t="s">
        <v>478</v>
      </c>
      <c r="J30" s="5" t="s">
        <v>479</v>
      </c>
      <c r="K30" s="5" t="s">
        <v>480</v>
      </c>
      <c r="L30" s="5" t="s">
        <v>481</v>
      </c>
      <c r="M30" s="5" t="s">
        <v>482</v>
      </c>
      <c r="N30" s="5" t="s">
        <v>483</v>
      </c>
      <c r="O30" s="5" t="s">
        <v>484</v>
      </c>
      <c r="P30" s="5" t="s">
        <v>485</v>
      </c>
      <c r="Q30" s="5" t="s">
        <v>490</v>
      </c>
      <c r="R30" s="5" t="s">
        <v>491</v>
      </c>
      <c r="S30" s="5" t="s">
        <v>492</v>
      </c>
      <c r="T30" s="5" t="s">
        <v>493</v>
      </c>
      <c r="U30" s="18"/>
      <c r="V30" s="5" t="s">
        <v>475</v>
      </c>
    </row>
    <row r="31" spans="1:69" s="7" customFormat="1">
      <c r="A31"/>
      <c r="B31" s="8" t="s">
        <v>458</v>
      </c>
      <c r="C31" s="8" t="s">
        <v>18</v>
      </c>
      <c r="D31" s="8" t="s">
        <v>462</v>
      </c>
      <c r="E31" s="14">
        <v>1</v>
      </c>
      <c r="F31" s="14"/>
      <c r="G31" s="14"/>
      <c r="H31" s="14"/>
      <c r="I31" s="14">
        <v>1</v>
      </c>
      <c r="J31" s="14">
        <v>1</v>
      </c>
      <c r="K31" s="14">
        <v>1</v>
      </c>
      <c r="L31" s="14">
        <v>1</v>
      </c>
      <c r="M31" s="14">
        <v>1</v>
      </c>
      <c r="N31" s="14">
        <v>1</v>
      </c>
      <c r="O31" s="14">
        <v>1</v>
      </c>
      <c r="P31" s="14">
        <v>1</v>
      </c>
      <c r="Q31" s="14"/>
      <c r="R31" s="14"/>
      <c r="S31" s="14"/>
      <c r="T31" s="14"/>
      <c r="U31" s="22"/>
      <c r="V31" s="6">
        <f t="shared" ref="V31:V43" si="0">SUM(E31:U31)</f>
        <v>9</v>
      </c>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row>
    <row r="32" spans="1:69">
      <c r="B32" s="10" t="s">
        <v>461</v>
      </c>
      <c r="C32" s="10" t="s">
        <v>486</v>
      </c>
      <c r="D32" s="10" t="s">
        <v>462</v>
      </c>
      <c r="E32" s="11">
        <v>1</v>
      </c>
      <c r="F32" s="11"/>
      <c r="G32" s="11"/>
      <c r="H32" s="11"/>
      <c r="I32" s="11">
        <v>1</v>
      </c>
      <c r="J32" s="11">
        <v>1</v>
      </c>
      <c r="K32" s="11">
        <v>1</v>
      </c>
      <c r="L32" s="11">
        <v>1</v>
      </c>
      <c r="M32" s="11">
        <v>1</v>
      </c>
      <c r="N32" s="11">
        <v>1</v>
      </c>
      <c r="O32" s="11">
        <v>1</v>
      </c>
      <c r="P32" s="11">
        <v>1</v>
      </c>
      <c r="Q32" s="11"/>
      <c r="R32" s="11"/>
      <c r="S32" s="11"/>
      <c r="T32" s="11"/>
      <c r="U32" s="22"/>
      <c r="V32" s="6">
        <f t="shared" si="0"/>
        <v>9</v>
      </c>
    </row>
    <row r="33" spans="2:22">
      <c r="B33" s="10" t="s">
        <v>463</v>
      </c>
      <c r="C33" s="10" t="s">
        <v>18</v>
      </c>
      <c r="D33" s="10" t="s">
        <v>460</v>
      </c>
      <c r="E33" s="11">
        <v>1</v>
      </c>
      <c r="F33" s="11"/>
      <c r="G33" s="11"/>
      <c r="H33" s="11"/>
      <c r="I33" s="11">
        <v>1</v>
      </c>
      <c r="J33" s="11">
        <v>1</v>
      </c>
      <c r="K33" s="11">
        <v>1</v>
      </c>
      <c r="L33" s="11">
        <v>1</v>
      </c>
      <c r="M33" s="11">
        <v>1</v>
      </c>
      <c r="N33" s="11">
        <v>1</v>
      </c>
      <c r="O33" s="11">
        <v>1</v>
      </c>
      <c r="P33" s="11">
        <v>1</v>
      </c>
      <c r="Q33" s="11"/>
      <c r="R33" s="11"/>
      <c r="S33" s="11"/>
      <c r="T33" s="11"/>
      <c r="U33" s="22"/>
      <c r="V33" s="6">
        <f t="shared" si="0"/>
        <v>9</v>
      </c>
    </row>
    <row r="34" spans="2:22">
      <c r="B34" s="10" t="s">
        <v>464</v>
      </c>
      <c r="C34" s="10" t="s">
        <v>465</v>
      </c>
      <c r="D34" s="10" t="s">
        <v>460</v>
      </c>
      <c r="E34" s="11"/>
      <c r="F34" s="11"/>
      <c r="G34" s="11"/>
      <c r="H34" s="11"/>
      <c r="I34" s="11">
        <v>1</v>
      </c>
      <c r="J34" s="11">
        <v>1</v>
      </c>
      <c r="K34" s="11">
        <v>1</v>
      </c>
      <c r="L34" s="11">
        <v>1</v>
      </c>
      <c r="M34" s="11">
        <v>1</v>
      </c>
      <c r="N34" s="11">
        <v>1</v>
      </c>
      <c r="O34" s="11">
        <v>1</v>
      </c>
      <c r="P34" s="11">
        <v>1</v>
      </c>
      <c r="Q34" s="11"/>
      <c r="R34" s="11"/>
      <c r="S34" s="11"/>
      <c r="T34" s="11"/>
      <c r="U34" s="22"/>
      <c r="V34" s="6">
        <f t="shared" si="0"/>
        <v>8</v>
      </c>
    </row>
    <row r="35" spans="2:22">
      <c r="B35" s="10" t="s">
        <v>466</v>
      </c>
      <c r="C35" s="10" t="s">
        <v>465</v>
      </c>
      <c r="D35" s="10" t="s">
        <v>460</v>
      </c>
      <c r="E35" s="11"/>
      <c r="F35" s="11"/>
      <c r="G35" s="11"/>
      <c r="H35" s="11"/>
      <c r="I35" s="11">
        <v>2</v>
      </c>
      <c r="J35" s="11">
        <v>2</v>
      </c>
      <c r="K35" s="11">
        <v>2</v>
      </c>
      <c r="L35" s="11">
        <v>2</v>
      </c>
      <c r="M35" s="11">
        <v>2</v>
      </c>
      <c r="N35" s="11">
        <v>2</v>
      </c>
      <c r="O35" s="11">
        <v>2</v>
      </c>
      <c r="P35" s="11">
        <v>2</v>
      </c>
      <c r="Q35" s="11"/>
      <c r="R35" s="11"/>
      <c r="S35" s="11"/>
      <c r="T35" s="11"/>
      <c r="U35" s="22"/>
      <c r="V35" s="6">
        <f t="shared" si="0"/>
        <v>16</v>
      </c>
    </row>
    <row r="36" spans="2:22">
      <c r="B36" s="10" t="s">
        <v>467</v>
      </c>
      <c r="C36" s="10" t="s">
        <v>53</v>
      </c>
      <c r="D36" s="10" t="s">
        <v>460</v>
      </c>
      <c r="E36" s="11"/>
      <c r="F36" s="11"/>
      <c r="G36" s="11"/>
      <c r="H36" s="11"/>
      <c r="I36" s="11"/>
      <c r="J36" s="11">
        <v>4</v>
      </c>
      <c r="K36" s="11">
        <v>4</v>
      </c>
      <c r="L36" s="11">
        <v>4</v>
      </c>
      <c r="M36" s="11">
        <v>4</v>
      </c>
      <c r="N36" s="11">
        <v>4</v>
      </c>
      <c r="O36" s="11">
        <v>4</v>
      </c>
      <c r="P36" s="11">
        <v>4</v>
      </c>
      <c r="Q36" s="11"/>
      <c r="R36" s="11"/>
      <c r="S36" s="11"/>
      <c r="T36" s="11"/>
      <c r="U36" s="22"/>
      <c r="V36" s="6">
        <f t="shared" si="0"/>
        <v>28</v>
      </c>
    </row>
    <row r="37" spans="2:22">
      <c r="B37" s="10" t="s">
        <v>468</v>
      </c>
      <c r="C37" s="10" t="s">
        <v>188</v>
      </c>
      <c r="D37" s="10" t="s">
        <v>460</v>
      </c>
      <c r="E37" s="11"/>
      <c r="F37" s="11"/>
      <c r="G37" s="11"/>
      <c r="H37" s="11"/>
      <c r="I37" s="11"/>
      <c r="J37" s="11">
        <v>4</v>
      </c>
      <c r="K37" s="11">
        <v>4</v>
      </c>
      <c r="L37" s="11">
        <v>4</v>
      </c>
      <c r="M37" s="11">
        <v>4</v>
      </c>
      <c r="N37" s="11">
        <v>4</v>
      </c>
      <c r="O37" s="11">
        <v>4</v>
      </c>
      <c r="P37" s="11">
        <v>4</v>
      </c>
      <c r="Q37" s="11"/>
      <c r="R37" s="11"/>
      <c r="S37" s="11"/>
      <c r="T37" s="11"/>
      <c r="U37" s="22"/>
      <c r="V37" s="6">
        <f t="shared" si="0"/>
        <v>28</v>
      </c>
    </row>
    <row r="38" spans="2:22">
      <c r="B38" s="10" t="s">
        <v>469</v>
      </c>
      <c r="C38" s="10" t="s">
        <v>465</v>
      </c>
      <c r="D38" s="10" t="s">
        <v>460</v>
      </c>
      <c r="E38" s="11">
        <v>1</v>
      </c>
      <c r="F38" s="11"/>
      <c r="G38" s="11"/>
      <c r="H38" s="11"/>
      <c r="I38" s="11">
        <v>1</v>
      </c>
      <c r="J38" s="11">
        <v>1</v>
      </c>
      <c r="K38" s="11">
        <v>1</v>
      </c>
      <c r="L38" s="11">
        <v>1</v>
      </c>
      <c r="M38" s="11">
        <v>1</v>
      </c>
      <c r="N38" s="11">
        <v>1</v>
      </c>
      <c r="O38" s="11">
        <v>1</v>
      </c>
      <c r="P38" s="11">
        <v>1</v>
      </c>
      <c r="Q38" s="11"/>
      <c r="R38" s="11"/>
      <c r="S38" s="11"/>
      <c r="T38" s="11"/>
      <c r="U38" s="22"/>
      <c r="V38" s="6">
        <f t="shared" si="0"/>
        <v>9</v>
      </c>
    </row>
    <row r="39" spans="2:22" s="17" customFormat="1" ht="15.95">
      <c r="B39" s="15" t="s">
        <v>473</v>
      </c>
      <c r="C39" s="15" t="s">
        <v>465</v>
      </c>
      <c r="D39" s="15" t="s">
        <v>460</v>
      </c>
      <c r="E39" s="16"/>
      <c r="F39" s="16"/>
      <c r="G39" s="16"/>
      <c r="H39" s="16"/>
      <c r="I39" s="16"/>
      <c r="J39" s="16">
        <v>1</v>
      </c>
      <c r="K39" s="16">
        <v>1</v>
      </c>
      <c r="L39" s="16">
        <v>1</v>
      </c>
      <c r="M39" s="16">
        <v>1</v>
      </c>
      <c r="N39" s="16">
        <v>1</v>
      </c>
      <c r="O39" s="16">
        <v>1</v>
      </c>
      <c r="P39" s="16">
        <v>1</v>
      </c>
      <c r="Q39" s="16"/>
      <c r="R39" s="16"/>
      <c r="S39" s="16"/>
      <c r="T39" s="16"/>
      <c r="U39" s="16"/>
      <c r="V39" s="6">
        <f t="shared" si="0"/>
        <v>7</v>
      </c>
    </row>
    <row r="40" spans="2:22" s="17" customFormat="1" ht="15.95">
      <c r="B40" s="15" t="s">
        <v>474</v>
      </c>
      <c r="C40" s="15" t="s">
        <v>53</v>
      </c>
      <c r="D40" s="15" t="s">
        <v>460</v>
      </c>
      <c r="E40" s="16"/>
      <c r="F40" s="16"/>
      <c r="G40" s="16"/>
      <c r="H40" s="16"/>
      <c r="I40" s="16"/>
      <c r="J40" s="16">
        <v>1</v>
      </c>
      <c r="K40" s="16">
        <v>1</v>
      </c>
      <c r="L40" s="16">
        <v>1</v>
      </c>
      <c r="M40" s="16">
        <v>1</v>
      </c>
      <c r="N40" s="16">
        <v>1</v>
      </c>
      <c r="O40" s="16">
        <v>1</v>
      </c>
      <c r="P40" s="16">
        <v>1</v>
      </c>
      <c r="Q40" s="16"/>
      <c r="R40" s="16"/>
      <c r="S40" s="16"/>
      <c r="T40" s="16"/>
      <c r="U40" s="16"/>
      <c r="V40" s="6">
        <f t="shared" si="0"/>
        <v>7</v>
      </c>
    </row>
    <row r="41" spans="2:22">
      <c r="B41" s="12" t="s">
        <v>470</v>
      </c>
      <c r="C41" s="12" t="s">
        <v>18</v>
      </c>
      <c r="D41" s="12" t="s">
        <v>460</v>
      </c>
      <c r="E41" s="13"/>
      <c r="F41" s="13"/>
      <c r="G41" s="13"/>
      <c r="H41" s="13"/>
      <c r="I41" s="13">
        <v>1</v>
      </c>
      <c r="J41" s="13">
        <v>1</v>
      </c>
      <c r="K41" s="13">
        <v>1</v>
      </c>
      <c r="L41" s="13">
        <v>1</v>
      </c>
      <c r="M41" s="13">
        <v>1</v>
      </c>
      <c r="N41" s="13">
        <v>1</v>
      </c>
      <c r="O41" s="13">
        <v>1</v>
      </c>
      <c r="P41" s="13">
        <v>1</v>
      </c>
      <c r="Q41" s="13"/>
      <c r="R41" s="13"/>
      <c r="S41" s="13"/>
      <c r="T41" s="13"/>
      <c r="U41" s="22"/>
      <c r="V41" s="6">
        <f t="shared" si="0"/>
        <v>8</v>
      </c>
    </row>
    <row r="42" spans="2:22">
      <c r="B42" s="12" t="s">
        <v>471</v>
      </c>
      <c r="C42" s="12" t="s">
        <v>465</v>
      </c>
      <c r="D42" s="12" t="s">
        <v>460</v>
      </c>
      <c r="E42" s="13"/>
      <c r="F42" s="13"/>
      <c r="G42" s="13"/>
      <c r="H42" s="13"/>
      <c r="I42" s="13"/>
      <c r="J42" s="13">
        <v>1</v>
      </c>
      <c r="K42" s="13">
        <v>1</v>
      </c>
      <c r="L42" s="13">
        <v>1</v>
      </c>
      <c r="M42" s="13">
        <v>1</v>
      </c>
      <c r="N42" s="13">
        <v>1</v>
      </c>
      <c r="O42" s="13">
        <v>1</v>
      </c>
      <c r="P42" s="13">
        <v>1</v>
      </c>
      <c r="Q42" s="13"/>
      <c r="R42" s="13"/>
      <c r="S42" s="13"/>
      <c r="T42" s="13"/>
      <c r="U42" s="22"/>
      <c r="V42" s="6">
        <f t="shared" si="0"/>
        <v>7</v>
      </c>
    </row>
    <row r="43" spans="2:22">
      <c r="B43" s="12" t="s">
        <v>472</v>
      </c>
      <c r="C43" s="12" t="s">
        <v>53</v>
      </c>
      <c r="D43" s="12" t="s">
        <v>460</v>
      </c>
      <c r="E43" s="13"/>
      <c r="F43" s="13"/>
      <c r="G43" s="13"/>
      <c r="H43" s="13"/>
      <c r="I43" s="13"/>
      <c r="J43" s="13">
        <v>1</v>
      </c>
      <c r="K43" s="13">
        <v>2</v>
      </c>
      <c r="L43" s="13">
        <v>2</v>
      </c>
      <c r="M43" s="13">
        <v>2</v>
      </c>
      <c r="N43" s="13">
        <v>2</v>
      </c>
      <c r="O43" s="13">
        <v>2</v>
      </c>
      <c r="P43" s="13">
        <v>2</v>
      </c>
      <c r="Q43" s="13"/>
      <c r="R43" s="13"/>
      <c r="S43" s="13"/>
      <c r="T43" s="13"/>
      <c r="U43" s="22"/>
      <c r="V43" s="6">
        <f t="shared" si="0"/>
        <v>13</v>
      </c>
    </row>
    <row r="44" spans="2:22">
      <c r="B44" s="9" t="s">
        <v>475</v>
      </c>
      <c r="C44" s="2"/>
      <c r="D44" s="2"/>
      <c r="E44" s="9">
        <f t="shared" ref="E44:T44" si="1">SUM(E31:E43)</f>
        <v>4</v>
      </c>
      <c r="F44" s="9"/>
      <c r="G44" s="9"/>
      <c r="H44" s="9"/>
      <c r="I44" s="9">
        <f t="shared" si="1"/>
        <v>8</v>
      </c>
      <c r="J44" s="9">
        <f t="shared" si="1"/>
        <v>20</v>
      </c>
      <c r="K44" s="9">
        <f t="shared" si="1"/>
        <v>21</v>
      </c>
      <c r="L44" s="9">
        <f t="shared" si="1"/>
        <v>21</v>
      </c>
      <c r="M44" s="9">
        <f t="shared" si="1"/>
        <v>21</v>
      </c>
      <c r="N44" s="9">
        <f t="shared" si="1"/>
        <v>21</v>
      </c>
      <c r="O44" s="9">
        <f t="shared" si="1"/>
        <v>21</v>
      </c>
      <c r="P44" s="9">
        <f t="shared" si="1"/>
        <v>21</v>
      </c>
      <c r="Q44" s="9">
        <f t="shared" si="1"/>
        <v>0</v>
      </c>
      <c r="R44" s="9">
        <f t="shared" si="1"/>
        <v>0</v>
      </c>
      <c r="S44" s="9">
        <f t="shared" si="1"/>
        <v>0</v>
      </c>
      <c r="T44" s="9">
        <f t="shared" si="1"/>
        <v>0</v>
      </c>
      <c r="U44" s="23"/>
      <c r="V44" s="9">
        <f>SUM(V31:V43)</f>
        <v>158</v>
      </c>
    </row>
    <row r="46" spans="2:22">
      <c r="V46" s="24">
        <f>V44*21</f>
        <v>3318</v>
      </c>
    </row>
  </sheetData>
  <mergeCells count="16">
    <mergeCell ref="AE3:AH3"/>
    <mergeCell ref="AI3:AM3"/>
    <mergeCell ref="E4:H4"/>
    <mergeCell ref="I4:L4"/>
    <mergeCell ref="M4:Q4"/>
    <mergeCell ref="R4:U4"/>
    <mergeCell ref="V4:Z4"/>
    <mergeCell ref="AA4:AD4"/>
    <mergeCell ref="AE4:AH4"/>
    <mergeCell ref="AI4:AM4"/>
    <mergeCell ref="E3:H3"/>
    <mergeCell ref="I3:L3"/>
    <mergeCell ref="M3:Q3"/>
    <mergeCell ref="R3:U3"/>
    <mergeCell ref="V3:Z3"/>
    <mergeCell ref="AA3:AD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DDFCA7605E7C7408589890C5B01C887" ma:contentTypeVersion="3" ma:contentTypeDescription="Create a new document." ma:contentTypeScope="" ma:versionID="cc6a52da7d50bd0b370881f14938dc22">
  <xsd:schema xmlns:xsd="http://www.w3.org/2001/XMLSchema" xmlns:xs="http://www.w3.org/2001/XMLSchema" xmlns:p="http://schemas.microsoft.com/office/2006/metadata/properties" xmlns:ns2="deaa5539-f2b7-44db-9d3f-97585cd29761" targetNamespace="http://schemas.microsoft.com/office/2006/metadata/properties" ma:root="true" ma:fieldsID="67c086b7298e080a948084c0e740bec3" ns2:_="">
    <xsd:import namespace="deaa5539-f2b7-44db-9d3f-97585cd2976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aa5539-f2b7-44db-9d3f-97585cd297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719310-15E0-40AB-AF70-196AA09EC50E}"/>
</file>

<file path=customXml/itemProps2.xml><?xml version="1.0" encoding="utf-8"?>
<ds:datastoreItem xmlns:ds="http://schemas.openxmlformats.org/officeDocument/2006/customXml" ds:itemID="{448427B7-7EC2-4A59-9BC0-7F53B21DEF2B}"/>
</file>

<file path=customXml/itemProps3.xml><?xml version="1.0" encoding="utf-8"?>
<ds:datastoreItem xmlns:ds="http://schemas.openxmlformats.org/officeDocument/2006/customXml" ds:itemID="{269A37F4-86F7-4A21-B8A9-E964B3DF01CD}"/>
</file>

<file path=docMetadata/LabelInfo.xml><?xml version="1.0" encoding="utf-8"?>
<clbl:labelList xmlns:clbl="http://schemas.microsoft.com/office/2020/mipLabelMetadata">
  <clbl:label id="{585384b6-0d0c-4979-9c8e-ca4fe36cbc80}" enabled="1" method="Standard" siteId="{2e114308-14ec-4d77-b610-490324fa1844}"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Cognizant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Bajoria, Anamika (Cognizant)</dc:creator>
  <cp:keywords/>
  <dc:description/>
  <cp:lastModifiedBy/>
  <cp:revision/>
  <dcterms:created xsi:type="dcterms:W3CDTF">2025-11-24T00:53:16Z</dcterms:created>
  <dcterms:modified xsi:type="dcterms:W3CDTF">2026-09-29T13:24:53Z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0x010100DDDFCA7605E7C7408589890C5B01C887</vt:lpwstr>
  </property>
</Properties>
</file>