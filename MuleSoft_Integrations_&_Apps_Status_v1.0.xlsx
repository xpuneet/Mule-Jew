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cognizantonlineeur-my.sharepoint.com/personal/465067_cognizant_com/Documents/Desktop/STARK-AZURE_Integration/Mule-Azure-Phase-2-FT-API-Migration/documents/"/>
    </mc:Choice>
  </mc:AlternateContent>
  <xr:revisionPtr revIDLastSave="0" documentId="8_{7464AE91-0BBD-42E8-94D7-90AF38E28F5E}" xr6:coauthVersionLast="47" xr6:coauthVersionMax="47" xr10:uidLastSave="{00000000-0000-0000-0000-000000000000}"/>
  <bookViews>
    <workbookView xWindow="-120" yWindow="-120" windowWidth="29040" windowHeight="15720" firstSheet="3" activeTab="3" xr2:uid="{B02EFAE9-6D41-435A-A27F-6D86B783975F}"/>
  </bookViews>
  <sheets>
    <sheet name="MuleIntegrations&lt;=&gt;MuleApps" sheetId="1" r:id="rId1"/>
    <sheet name="MuleApps&lt;=&gt;MuleIntegrations" sheetId="2" r:id="rId2"/>
    <sheet name="All-Prod-MuleApps" sheetId="4" r:id="rId3"/>
    <sheet name="All-Prod-Mule-Triggers" sheetId="3" r:id="rId4"/>
  </sheets>
  <definedNames>
    <definedName name="_xlnm._FilterDatabase" localSheetId="0" hidden="1">'MuleIntegrations&lt;=&gt;MuleApps'!$A$1:$E$206</definedName>
    <definedName name="_xlnm._FilterDatabase" localSheetId="1" hidden="1">'MuleApps&lt;=&gt;MuleIntegrations'!$A$1:$E$206</definedName>
    <definedName name="_xlnm._FilterDatabase" localSheetId="3" hidden="1">'All-Prod-Mule-Triggers'!$A$1:$I$126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2" i="3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2" i="4"/>
</calcChain>
</file>

<file path=xl/sharedStrings.xml><?xml version="1.0" encoding="utf-8"?>
<sst xmlns="http://schemas.openxmlformats.org/spreadsheetml/2006/main" count="2860" uniqueCount="479">
  <si>
    <t>Sr No</t>
  </si>
  <si>
    <t>MuleSoft Integrations</t>
  </si>
  <si>
    <t>MuleSoft Applications</t>
  </si>
  <si>
    <t>Medium</t>
  </si>
  <si>
    <t>Comments</t>
  </si>
  <si>
    <t>MUL-CONSOLIDATEDINVOICE</t>
  </si>
  <si>
    <t>columbus-document-papi-v1</t>
  </si>
  <si>
    <t>Mixed</t>
  </si>
  <si>
    <t> </t>
  </si>
  <si>
    <t>columbus-document-sapi-v1</t>
  </si>
  <si>
    <t>customer-document-papi-v1</t>
  </si>
  <si>
    <t>hx-sftp-sapi-v1</t>
  </si>
  <si>
    <t>invoice-papi-v1</t>
  </si>
  <si>
    <t>sfdc-order-sapi-v1</t>
  </si>
  <si>
    <t>sfdc-product-sapi-v1</t>
  </si>
  <si>
    <t>vanstock-invoice-sapi-v1</t>
  </si>
  <si>
    <t>MUL-DIGITALASSET</t>
  </si>
  <si>
    <t>azure-blob-storage-sapi-v1</t>
  </si>
  <si>
    <t>API</t>
  </si>
  <si>
    <t>digitalasset-papi-v1</t>
  </si>
  <si>
    <t>cloudinary-digitalasset-sapi-live</t>
  </si>
  <si>
    <t>MUL-COLUMBUS-DOC-HYBRIS</t>
  </si>
  <si>
    <t>api-hybrisdocuments-v2</t>
  </si>
  <si>
    <t>document-papi-v1</t>
  </si>
  <si>
    <t>mule-oauth-provider</t>
  </si>
  <si>
    <t>MUL-COLUMBUSFILES</t>
  </si>
  <si>
    <t>File Transfer</t>
  </si>
  <si>
    <t>FelixToAzureStarkAndColumbus UAT Pending</t>
  </si>
  <si>
    <t xml:space="preserve">HxToAzureStarkAndColumbus UAT pending </t>
  </si>
  <si>
    <t>icon-sftp-sapi-v1</t>
  </si>
  <si>
    <t>felix-sftp-sapi-v1</t>
  </si>
  <si>
    <t>MUL-COLUMBUS-DOCUMENTS</t>
  </si>
  <si>
    <t>document-eapi-v2</t>
  </si>
  <si>
    <t>MUL-ACCOUNT-VALIDATION</t>
  </si>
  <si>
    <t>account-validation-eapi-v1</t>
  </si>
  <si>
    <t>account-validation-papi-v1</t>
  </si>
  <si>
    <t>icon-account-sapi-v1</t>
  </si>
  <si>
    <t>dbm-sapi-v1</t>
  </si>
  <si>
    <t>pmsolutions-sapi-v1</t>
  </si>
  <si>
    <t>MUL-TIMBERDATABASE</t>
  </si>
  <si>
    <t>timber-papi-v1</t>
  </si>
  <si>
    <t>UAT pending</t>
  </si>
  <si>
    <t>azure-file-sapi-v1</t>
  </si>
  <si>
    <t>MUL-FLEETWAVE-ICON-COGNITO</t>
  </si>
  <si>
    <t>transport-papi-v1</t>
  </si>
  <si>
    <t>fleetwave-sapi-v1</t>
  </si>
  <si>
    <t>cognito-sapi-v1</t>
  </si>
  <si>
    <t>MUL-TRIPDATA</t>
  </si>
  <si>
    <t>rac-sapi-v1</t>
  </si>
  <si>
    <t xml:space="preserve">Out of Scope </t>
  </si>
  <si>
    <t>MUL-SWIFT6-TRANSPORT</t>
  </si>
  <si>
    <t>swift6-sapi-v1</t>
  </si>
  <si>
    <t>MUL-ICERTIS</t>
  </si>
  <si>
    <t>icertis-sapi-v1</t>
  </si>
  <si>
    <t>phocas-cloud-papi-v1</t>
  </si>
  <si>
    <t>phocas-cloud-sapi-v1</t>
  </si>
  <si>
    <t>MUL-ERP-3rd-PARTY</t>
  </si>
  <si>
    <t>bi-papi-v2</t>
  </si>
  <si>
    <t>insight-sapi-v1</t>
  </si>
  <si>
    <t>MUL-TRUECOMMERCE</t>
  </si>
  <si>
    <t>edi-papi-v1</t>
  </si>
  <si>
    <t>Truecommerce to HX - UAT pending after Prod issue</t>
  </si>
  <si>
    <t>tradex-sftp-sapi-v1</t>
  </si>
  <si>
    <t>truecommerce-sapi-v1</t>
  </si>
  <si>
    <t>MUL-PHOCAS-CREDITCONTROL</t>
  </si>
  <si>
    <t>MUL-PHOCAS-DAILYDATA</t>
  </si>
  <si>
    <t>MUL-ICONACCOUNTS</t>
  </si>
  <si>
    <t>account-eapi-v2</t>
  </si>
  <si>
    <t>MUL-DATALAKE</t>
  </si>
  <si>
    <t>bi-papi-v1</t>
  </si>
  <si>
    <t>sfdc-invoice-etl-papi-v1</t>
  </si>
  <si>
    <t>This is being covered under MUL-CONSXREF</t>
  </si>
  <si>
    <t>MUL-PRODUCT-FEED</t>
  </si>
  <si>
    <t>product-feed-papi-v1</t>
  </si>
  <si>
    <t>bloomreach-sapi-v1</t>
  </si>
  <si>
    <t>gmc-sapi-v1</t>
  </si>
  <si>
    <t>rakuten-sapi-v1</t>
  </si>
  <si>
    <t>stibo-sapi-v1</t>
  </si>
  <si>
    <t>outbound-proxy-sapi-v1</t>
  </si>
  <si>
    <t>MUL-BACS-FILES</t>
  </si>
  <si>
    <t>bacs-papi-v1</t>
  </si>
  <si>
    <t>MUL-BRINGG</t>
  </si>
  <si>
    <t>order-delivery-papi-v1</t>
  </si>
  <si>
    <t>bringg-order-sapi-v1</t>
  </si>
  <si>
    <t>icon-order-sapi-v3</t>
  </si>
  <si>
    <t>MUL-SUPPLIER-OCR</t>
  </si>
  <si>
    <t>cognizant-sftp-sapi-v1</t>
  </si>
  <si>
    <t>supplier-invoice-papi-v1</t>
  </si>
  <si>
    <t>MUL-EXPERIAN</t>
  </si>
  <si>
    <t>experian-papi-v1</t>
  </si>
  <si>
    <t>experian-sapi-v1</t>
  </si>
  <si>
    <t>MUL-ICON-TIMBER-PO</t>
  </si>
  <si>
    <t>MUL-SWISSPOST</t>
  </si>
  <si>
    <t>swisspost-sapi-v1</t>
  </si>
  <si>
    <t>MUL-TIMBERSUPPLIERS</t>
  </si>
  <si>
    <t>timber-sftp-sapi-v1</t>
  </si>
  <si>
    <t>MUL-LABLEFILES</t>
  </si>
  <si>
    <t>imagedata-sftp-sapi-v1</t>
  </si>
  <si>
    <t>MUL-MINSTER-NEW-ACCS</t>
  </si>
  <si>
    <t>pmsolutions-papi-v1</t>
  </si>
  <si>
    <t>MUL-INVENTORYAUTOMATION</t>
  </si>
  <si>
    <t>relex-sapi-v2</t>
  </si>
  <si>
    <t>po-proposal-papi-v1</t>
  </si>
  <si>
    <t>icon-order-sapi-v2</t>
  </si>
  <si>
    <t>MUL-PUNCHOUT</t>
  </si>
  <si>
    <t>customer-catalogue-eapi-v1</t>
  </si>
  <si>
    <t>customer-catalogue-papi-v1</t>
  </si>
  <si>
    <t>icon-product-sapi-v1</t>
  </si>
  <si>
    <t>MUL-PRODUCTS</t>
  </si>
  <si>
    <t>product-eapi-v1</t>
  </si>
  <si>
    <t>product-papi-v2</t>
  </si>
  <si>
    <t>product-sapi-v2</t>
  </si>
  <si>
    <t>MUL-SALESORDERS</t>
  </si>
  <si>
    <t>order-eapi</t>
  </si>
  <si>
    <t>order-papi</t>
  </si>
  <si>
    <t>icon-order-sapi-v1</t>
  </si>
  <si>
    <t>MUL-INBOUND-QUOTES</t>
  </si>
  <si>
    <t>quote-eapi</t>
  </si>
  <si>
    <t>icon-quote-sapi-v1</t>
  </si>
  <si>
    <t>MUL-BRANCHFINDER</t>
  </si>
  <si>
    <t>branchfinder-eapi-v1</t>
  </si>
  <si>
    <t>branches-papi-v1</t>
  </si>
  <si>
    <t>branchdirectory-sapi-v2</t>
  </si>
  <si>
    <t>MUL-CUSTORDERVALIDATION</t>
  </si>
  <si>
    <t>icon-order-validation-eapi-v1</t>
  </si>
  <si>
    <t>ovm-papi-v1</t>
  </si>
  <si>
    <t>icov-customersftp-sapi-v1</t>
  </si>
  <si>
    <t>ovm-services-sapi-v1</t>
  </si>
  <si>
    <t>MUL-SUPPLIER-PO</t>
  </si>
  <si>
    <t>Icon to Wesupply &amp; Wesupply to Icon - UAT pending</t>
  </si>
  <si>
    <t>wesupply-sftp-sapi-v1</t>
  </si>
  <si>
    <t>MUL-CUSTOMER-EDI</t>
  </si>
  <si>
    <t>MUL-DISTRIBUTIONCENTRE</t>
  </si>
  <si>
    <t>wincanton-sapi-v1</t>
  </si>
  <si>
    <t>MUL-SMS-RELAY</t>
  </si>
  <si>
    <t>infobip-sms-sapi-v1</t>
  </si>
  <si>
    <t>web-eapi-v2</t>
  </si>
  <si>
    <t>MUL-OKTA-SYNC</t>
  </si>
  <si>
    <t>okta-contact-sapi-v1</t>
  </si>
  <si>
    <t>contact-papi-v1</t>
  </si>
  <si>
    <t>consent-papi-v1</t>
  </si>
  <si>
    <t>sfdc-consent-sapi-v1</t>
  </si>
  <si>
    <t>sfdc-contact-sapi-v1</t>
  </si>
  <si>
    <t>MUL-VANSTOCK-PURCHASEORDER</t>
  </si>
  <si>
    <t>vanstock-po-eapi-v1</t>
  </si>
  <si>
    <t>purchaseorder-papi-v1</t>
  </si>
  <si>
    <t>pecos-purchaseorder-sapi-v1</t>
  </si>
  <si>
    <t>MUL-SALES-PIPELINE</t>
  </si>
  <si>
    <t>sales-papi-v1</t>
  </si>
  <si>
    <t>sfdc-sales-sapi-v1</t>
  </si>
  <si>
    <t>quote-papi-v1</t>
  </si>
  <si>
    <t>MUL-CONSENT</t>
  </si>
  <si>
    <t>icon-contact-eapi-v1</t>
  </si>
  <si>
    <t>sfdc-contact-eapi-v1</t>
  </si>
  <si>
    <t>icon-contact-sapi-v1</t>
  </si>
  <si>
    <t>sfdc-accounts-sapi-v1</t>
  </si>
  <si>
    <t>sfdc-consent-eapi</t>
  </si>
  <si>
    <t>MUL-CONSXREF</t>
  </si>
  <si>
    <t>MUL-PRODUCT-CLASSIFICATION</t>
  </si>
  <si>
    <t>hr-azure-storage-sapi-v1</t>
  </si>
  <si>
    <t>product-papi-v1</t>
  </si>
  <si>
    <t>adobe-cloud-sapi-v1</t>
  </si>
  <si>
    <t>MUL-COLUMBUSDOCS</t>
  </si>
  <si>
    <t>MUL-HYBRIS-CUSTOMER-DOCS</t>
  </si>
  <si>
    <t>MUL-ECOMM-PRODUCTFEED</t>
  </si>
  <si>
    <t>stibo-productfeed-eapi-v1</t>
  </si>
  <si>
    <t>ecommerce-productfeed-eapi-v1</t>
  </si>
  <si>
    <t>MUL-OPCARDS</t>
  </si>
  <si>
    <t>ovm-services-eapi-v1</t>
  </si>
  <si>
    <t>MUL-CHEVIN-TO-TRAKM8</t>
  </si>
  <si>
    <t>trakm8-sapi-v1</t>
  </si>
  <si>
    <t>MUL-CONCUR</t>
  </si>
  <si>
    <t>workday-papi-v1</t>
  </si>
  <si>
    <t>workday-sapi-v1</t>
  </si>
  <si>
    <t>concur-sapi-v1</t>
  </si>
  <si>
    <t>Prod Status</t>
  </si>
  <si>
    <t>Normalised name</t>
  </si>
  <si>
    <t>Integration</t>
  </si>
  <si>
    <t>starkuk-live-sfdc-accounts-sapi-v1</t>
  </si>
  <si>
    <t>Started</t>
  </si>
  <si>
    <t>starkuk-live-wesupply-sftp-sapi-v1</t>
  </si>
  <si>
    <t>sgbd-live-azure-blob-storage-sapi-v1</t>
  </si>
  <si>
    <t>starkuk-live-icov-customersftp-sapi-v1</t>
  </si>
  <si>
    <t>starkuk-live-ovm-services-eapi-v1</t>
  </si>
  <si>
    <t>starkuk-live-bi-papi-v1</t>
  </si>
  <si>
    <t>Undeployed</t>
  </si>
  <si>
    <t>starkuk-live-icon-contact-eapi-v1</t>
  </si>
  <si>
    <t>starkuk-live-icon-contact-sapi-v1</t>
  </si>
  <si>
    <t>starkuk-live-po-proposal-papi-v1</t>
  </si>
  <si>
    <t>starkuk-live-icon-account-sapi-v1</t>
  </si>
  <si>
    <t>starkuk-live-icon-product-sapi-v1</t>
  </si>
  <si>
    <t>starkuk-live-product-sapi-v2</t>
  </si>
  <si>
    <t>starkuk-live-icon-order-sapi-v1</t>
  </si>
  <si>
    <t>starkuk-live-icon-order-sapi-v2</t>
  </si>
  <si>
    <t>starkuk-live-icon-sftp-sapi-v1</t>
  </si>
  <si>
    <t>starkuk-live-relex-sapi-v2</t>
  </si>
  <si>
    <t>starkuk-live-timber-papi-v1</t>
  </si>
  <si>
    <t>starkuk-live-columbus-document-papi-v1</t>
  </si>
  <si>
    <t>starkuk-live-api-hybrisdocuments-v2</t>
  </si>
  <si>
    <t>starkuk-live-document-eapi-v2</t>
  </si>
  <si>
    <t>starkuk-live-document-papi-v1</t>
  </si>
  <si>
    <t>starkuk-live-columbus-document-sapi-v1</t>
  </si>
  <si>
    <t>starkuk-live-infobip-sms-sapi-v1</t>
  </si>
  <si>
    <t>starkuk-live-web-eapi-v2</t>
  </si>
  <si>
    <t>stark-live-stark-hr-azure-storage-sapi-v1</t>
  </si>
  <si>
    <t>stark-hr-azure-storage-sapi-v1</t>
  </si>
  <si>
    <t>starkuk-live-workday-sapi-v1</t>
  </si>
  <si>
    <t>starkuk-live-workday-papi-v1</t>
  </si>
  <si>
    <t>sgbd-live-outbound-proxy-sapi-v1</t>
  </si>
  <si>
    <t>starkuk-live-icon-order-validation-eapi-v1</t>
  </si>
  <si>
    <t>starkuk-live-ovm-services-sapi-v1</t>
  </si>
  <si>
    <t>starkuk-live-ovm-papi-v1</t>
  </si>
  <si>
    <t>starkuk-live-branchdirectory-sapi-v2</t>
  </si>
  <si>
    <t>starkuk-live-branches-papi-v1</t>
  </si>
  <si>
    <t>starkuk-live-branchfinder-eapi-v1</t>
  </si>
  <si>
    <t>starkuk-live-pecos-purchaseorder-sapi-v1</t>
  </si>
  <si>
    <t>starkuk-live-purchaseorder-papi-v1</t>
  </si>
  <si>
    <t>starkuk-live-vanstock-po-eapi-v1</t>
  </si>
  <si>
    <t>sgbd-live-invoice-papi-v1</t>
  </si>
  <si>
    <t>sgbd-live-sfdc-product-sapi-v1</t>
  </si>
  <si>
    <t>sgbd-live-sfdc-order-sapi-v1</t>
  </si>
  <si>
    <t>starkuk-live-sfdc-invoice-etl-papi-v1</t>
  </si>
  <si>
    <t>starkuk-live-redflag-sapi-v1</t>
  </si>
  <si>
    <t>redflag-sapi-v1</t>
  </si>
  <si>
    <t>sgbd-live-rakuten-sapi-v1</t>
  </si>
  <si>
    <t>sgbd-live-gmc-sapi-v1</t>
  </si>
  <si>
    <t>sgbd-live-account-validation-papi-v1</t>
  </si>
  <si>
    <t>sgbd-live-pmsolutions-sapi-v1</t>
  </si>
  <si>
    <t>sgbd-live-account-validation-eapi-v1</t>
  </si>
  <si>
    <t>sgbd-live-product-eapi-v1</t>
  </si>
  <si>
    <t>sgbd-live-account-eapi-v2</t>
  </si>
  <si>
    <t>sgbd-live-product-feed-papi-v1</t>
  </si>
  <si>
    <t>sgbd-live-order-eapi</t>
  </si>
  <si>
    <t>sgbd-live-order-papi</t>
  </si>
  <si>
    <t>sgbd-live-quote-eapi</t>
  </si>
  <si>
    <t>sgbd-mule-oauth-provider</t>
  </si>
  <si>
    <t>oauth-provider</t>
  </si>
  <si>
    <t>starkuk-live-rac-sapi-v1</t>
  </si>
  <si>
    <t>sgbd-live-swift6-sapi-v1</t>
  </si>
  <si>
    <t>sgbd-live-fleetwave-sapi-v1</t>
  </si>
  <si>
    <t>sgbd-live-transport-papi-v1</t>
  </si>
  <si>
    <t>starkuk-live-icertis-sapi-v1</t>
  </si>
  <si>
    <t>starkuk-live-bacs-papi-v1</t>
  </si>
  <si>
    <t>starkuk-live-imagedata-sftp-sapi-v1</t>
  </si>
  <si>
    <t>sgbd-live-stark-azure-file-sapi-v1</t>
  </si>
  <si>
    <t>starkuk-live-truecommerce-sapi-v1</t>
  </si>
  <si>
    <t>starkuk-live-hx-to-dbm-poc-v1</t>
  </si>
  <si>
    <t>hx-to-dbm-poc-v1</t>
  </si>
  <si>
    <t>starkuk-live-customer-document-papi-v1</t>
  </si>
  <si>
    <t>starkuk-live-pub-order-eapi-v2</t>
  </si>
  <si>
    <t>pub-order-eapi-v2</t>
  </si>
  <si>
    <t>starkuk-live-processing-order-papi-v2</t>
  </si>
  <si>
    <t>processing-order-papi-v2</t>
  </si>
  <si>
    <t>starkuk-live-order-papi-v2</t>
  </si>
  <si>
    <t>order-papi-v2</t>
  </si>
  <si>
    <t>sgbd-live-swisspost-sapi-v1</t>
  </si>
  <si>
    <t>sgbd-live-dbm-sapi-v1</t>
  </si>
  <si>
    <t>sgbd-live-product-papi-v1</t>
  </si>
  <si>
    <t>sgbd-live-bloomreach-sapi-v1</t>
  </si>
  <si>
    <t>starkuk-live-anypoint-splunk-logforwarder</t>
  </si>
  <si>
    <t>anypoint-splunk-logforwarder</t>
  </si>
  <si>
    <t>sgbd-live-okta-contact-eapi-v1</t>
  </si>
  <si>
    <t>okta-contact-eapi-v1</t>
  </si>
  <si>
    <t>sgbd-live-customer-catalogue-eapi-v1</t>
  </si>
  <si>
    <t>sgbd-live-sfdc-consent-eapi</t>
  </si>
  <si>
    <t>sgbd-live-consent-papi-v1</t>
  </si>
  <si>
    <t>sgbd-live-sfdc-consent-sapi-v1</t>
  </si>
  <si>
    <t>sgbd-live-product-papi-v2</t>
  </si>
  <si>
    <t>starkuk-live-supplier-invoice-papi-v1</t>
  </si>
  <si>
    <t>starkuk-live-cognizant-sftp-sapi-v1</t>
  </si>
  <si>
    <t>sgbd-live-adobe-cloud-sapi-v1</t>
  </si>
  <si>
    <t>starkuk-live-retarus-email-sapi-v1</t>
  </si>
  <si>
    <t>retarus-email-sapi-v1</t>
  </si>
  <si>
    <t>sgbd-live-sfdc-sales-sapi-v1</t>
  </si>
  <si>
    <t>starkuk-live-digitalasset-papi-v1</t>
  </si>
  <si>
    <t>sgbd-live-okta-contact-sapi-v1</t>
  </si>
  <si>
    <t>sgbd-live-phocas-cloud-sapi-v1</t>
  </si>
  <si>
    <t>starkuk-live-business-critical-vpn-v1</t>
  </si>
  <si>
    <t>business-critical-vpn-v1</t>
  </si>
  <si>
    <t>sgbd-live-trakm8-sapi-v1</t>
  </si>
  <si>
    <t>starkuk-live-concur-sapi-v1</t>
  </si>
  <si>
    <t>starkuk-live-tm1-sapi-v1</t>
  </si>
  <si>
    <t>tm1-sapi-v1</t>
  </si>
  <si>
    <t>sgbd-live-sfdc-contact-eapi-v1</t>
  </si>
  <si>
    <t>sgbd-live-contact-papi-v1</t>
  </si>
  <si>
    <t>sgbd-live-sfdc-contact-sapi-v1</t>
  </si>
  <si>
    <t>starkuk-live-quote-papi-v1</t>
  </si>
  <si>
    <t>starkuk-live-phocas-cloud-papi-v1</t>
  </si>
  <si>
    <t>starkuk-live-edi-papi-v1</t>
  </si>
  <si>
    <t>starkuk-live-bi-papi-v2</t>
  </si>
  <si>
    <t>starkuk-live-insight-sapi-v1</t>
  </si>
  <si>
    <t>starkuk-live-felix-sftp-sapi-v1</t>
  </si>
  <si>
    <t>starkuk-live-hx-sftp-sapi-v1</t>
  </si>
  <si>
    <t>starkuk-live-customer-catalogue-papi-v1</t>
  </si>
  <si>
    <t>sgbd-live-wincanton-sapi-v1</t>
  </si>
  <si>
    <t>sgbd-live-tradex-sftp-sapi-v1</t>
  </si>
  <si>
    <t>starkuk-live-timber-sftp-sapi-v1</t>
  </si>
  <si>
    <t>starkuk-live-sales-papi-v1</t>
  </si>
  <si>
    <t>starkuk-live-icon-quote-sapi-v1</t>
  </si>
  <si>
    <t>starkuk-live-pmsolutions-papi-v1</t>
  </si>
  <si>
    <t>starkuk-prod-cognito-sapi-v1</t>
  </si>
  <si>
    <t>TriggerName</t>
  </si>
  <si>
    <t>Scheduletime</t>
  </si>
  <si>
    <t>icon-to-pmsolutions-papi-flow_Scheduler</t>
  </si>
  <si>
    <t>0 0 9,10 ? * *</t>
  </si>
  <si>
    <t>Enabled</t>
  </si>
  <si>
    <t>outbound-reprocessing-scheduler-flow_Scheduler</t>
  </si>
  <si>
    <t>0 30 9 ? * *</t>
  </si>
  <si>
    <t>clear-token-scheduler_Scheduler</t>
  </si>
  <si>
    <t>0 0 2 * * ? *</t>
  </si>
  <si>
    <t>hx-org-grn-scheduler_org and grn files</t>
  </si>
  <si>
    <t>Disabled</t>
  </si>
  <si>
    <t>hx-term-scheduler_Term files</t>
  </si>
  <si>
    <t>icon-BC_ICRP-scheduler_Scheduler</t>
  </si>
  <si>
    <t>icon-mans-scheduler_Scheduler</t>
  </si>
  <si>
    <t>icon-scheduler-for-product-additional-files_Scheduler</t>
  </si>
  <si>
    <t>icon-scheduler-for-supplier-additional-files_Scheduler</t>
  </si>
  <si>
    <t>icon-scheduler_Scheduler</t>
  </si>
  <si>
    <t>phocas-scheduler_Scheduler</t>
  </si>
  <si>
    <t>send-token-scheduler_Scheduler</t>
  </si>
  <si>
    <t>0 0/30 0-1,6,17-23 * * ?</t>
  </si>
  <si>
    <t>felix-to-azure-scheduler-flow_felix-to-azure-scheduler</t>
  </si>
  <si>
    <t>icon-to-felix-scheduler-flow_icon-felix-scheduler</t>
  </si>
  <si>
    <t>timber-to-felix-scheduler-flow_timber-felix-scheduler</t>
  </si>
  <si>
    <t>ovm-papi-main-scheduler-flow_Scheduler</t>
  </si>
  <si>
    <t>0 0/30 6-19 ? * MON,TUE,WED,THU,FRI,SAT *</t>
  </si>
  <si>
    <t>ovm-papi-reprocessing-scheduler-flow_Scheduler</t>
  </si>
  <si>
    <t>0 0/15 * ? * * *</t>
  </si>
  <si>
    <t>ovm-papi-start-of-the-day-scheduler-flow_Scheduler</t>
  </si>
  <si>
    <t>0 0 8 ? * * *</t>
  </si>
  <si>
    <t>felix-to-salesi-via-outbound-proxy-sapi_felix-to-salesi</t>
  </si>
  <si>
    <t>hx-dumps-to-internal-flow_hx-dumps-to-internal</t>
  </si>
  <si>
    <t>hx-informatica-to-internal-sftp-flow_scheduler</t>
  </si>
  <si>
    <t>hx-to-concur-flow_hx-concur-scheduler</t>
  </si>
  <si>
    <t>0 0 18 * * ? *</t>
  </si>
  <si>
    <t>hx-to-dbm-flow_hx-to-dbm-scheduler</t>
  </si>
  <si>
    <t>hx-to-internal-sftp-sapi-flow_hx-to-internal</t>
  </si>
  <si>
    <t>hx-to-proactis-via-outbound-proxy-sapi-flow_Scheduler</t>
  </si>
  <si>
    <t>icon-account-handler-cash-flow_Scheduler</t>
  </si>
  <si>
    <t>icon-account-handler-credit-flow_Scheduler</t>
  </si>
  <si>
    <t>icon-account-handler-marketing-flow_Scheduler</t>
  </si>
  <si>
    <t>icon-account-handler-reject-flow_Scheduler</t>
  </si>
  <si>
    <t>icon-ecs-to-blob-flow_icon-ecs-to-stark-azure-blob</t>
  </si>
  <si>
    <t>icon-sql-to-internal-scheduler-flow_icon-sql-to-internal-scheduler</t>
  </si>
  <si>
    <t>icon-to-insight-flow_Scheduler</t>
  </si>
  <si>
    <t>internal-to-icertis-flow_internal-to-icertis</t>
  </si>
  <si>
    <t>internal-to-insight-flow_internal-to-insight-scheduler</t>
  </si>
  <si>
    <t>stark-azure-to-insight-flow_stark-azure-to-insight-scheduler</t>
  </si>
  <si>
    <t>cognizant-sftp-to-columbus-blob-schedule_cognizant-to-columbus</t>
  </si>
  <si>
    <t>0 1 0 ? * * *</t>
  </si>
  <si>
    <t>felix-to-columbus-flow_felix-to-columbus-scheduler</t>
  </si>
  <si>
    <t>felix-to-stark-azure-and-columbus-flow_Scheduler</t>
  </si>
  <si>
    <t>hx-to-columbus-flow_hx-to-columbus-scheduler</t>
  </si>
  <si>
    <t>hx-to-stark-azure-and-columbus-flow_Scheduler</t>
  </si>
  <si>
    <t>0 50 */1 ? * *</t>
  </si>
  <si>
    <t>hybris-to-columbus-flow_hybris-to-columbus-scheduler</t>
  </si>
  <si>
    <t>icon-to-columbus-flow_icon-to-columbus-scheduler</t>
  </si>
  <si>
    <t>redflag-to-columbus-reprocessing-flow_Scheduler</t>
  </si>
  <si>
    <t>0 */5 * ? * *</t>
  </si>
  <si>
    <t>stark-azure-to-hx-flow_Scheduler</t>
  </si>
  <si>
    <t>0 16 */1 ? * *</t>
  </si>
  <si>
    <t>clear-object-store-flow_Scheduler</t>
  </si>
  <si>
    <t>debt-refactoring-azure-token-scheduler_Scheduler</t>
  </si>
  <si>
    <t>0 0 5,6 ? * * *</t>
  </si>
  <si>
    <t>hx-credit-control-to-phocas-flow_scheduler</t>
  </si>
  <si>
    <t>hx-informatica-to-phocas-flow_scheduler</t>
  </si>
  <si>
    <t>hx-to-dbm-and-insight-reprocessing-flow_Scheduler</t>
  </si>
  <si>
    <t>hx-to-phocas-custval-scheduler_hx-phocas-scheduler</t>
  </si>
  <si>
    <t>hx-to-phocas-sales-customers-suppliers-scheduler_Poll</t>
  </si>
  <si>
    <t>icertis-to-phocas-scheduler_icertis-to-phocas</t>
  </si>
  <si>
    <t>icon(phocas)-to-phocas-reprocessing-flow_Scheduler</t>
  </si>
  <si>
    <t>0 30 3 ? * * *</t>
  </si>
  <si>
    <t>icon(phocas)-to-phocas-scheduler_Scheduler</t>
  </si>
  <si>
    <t>icon(phocas-manual)-to-phocas-scheduler-flow_icon-phocas-manual-to-phocas-scheduler</t>
  </si>
  <si>
    <t>icon(sql)-to-phocas-scheduler_icon-phocas-scheduler</t>
  </si>
  <si>
    <t>icon-credit-control-to-phocas-flow_scheduler</t>
  </si>
  <si>
    <t>icon-finance-debt-refactoring_Scheduler</t>
  </si>
  <si>
    <t>phocas-azure-token-scheduler_Scheduler</t>
  </si>
  <si>
    <t>0 0/30 5-9 * * ?</t>
  </si>
  <si>
    <t>phocas-to-azure-scheduler_Scheduler</t>
  </si>
  <si>
    <t>phocas-to-dbm-scheduler_Scheduler</t>
  </si>
  <si>
    <t>quote-papi-post-orders-icon-to-salesforce-scheduler-flow_Scheduler</t>
  </si>
  <si>
    <t>quote-papi-post-quotes-icon-to-salesforce-scheduler-flow_Scheduler</t>
  </si>
  <si>
    <t>columbus-scheduler_icon-columbus-scheduler</t>
  </si>
  <si>
    <t>credit-chase-files-scheduler_credit chase files scheduler</t>
  </si>
  <si>
    <t>0 0 * ? * *</t>
  </si>
  <si>
    <t>felix-int-timber-to-swisspost_Felix Int Timber To Swisspost Scheduler</t>
  </si>
  <si>
    <t>felix-timber-to-swisspost_Felix Timber To Swisspost Scheduler</t>
  </si>
  <si>
    <t>0 0/15 6-8 * * ? *</t>
  </si>
  <si>
    <t>hx-to-columbus-flow_Hx To Columbus Scheduler</t>
  </si>
  <si>
    <t>hx-to-salesforce-schedule_hx-to-salesforce</t>
  </si>
  <si>
    <t>0 30 0/1 ? * * *</t>
  </si>
  <si>
    <t>hx-to-swisspost_Hx To Swisspost Scheduler</t>
  </si>
  <si>
    <t>icon-to-swisspost-scheduler_icon to swisspost scheduler</t>
  </si>
  <si>
    <t>reprocessing-credit-chase-files-scheduler_credit-chase-error-files-scheduler</t>
  </si>
  <si>
    <t>Every 30 minutes</t>
  </si>
  <si>
    <t>swisspost-files-scheduler_swisspost files scheduler</t>
  </si>
  <si>
    <t>Every 10 minutes</t>
  </si>
  <si>
    <t>sales-papi-get-quote-scheduler-flow_Scheduler</t>
  </si>
  <si>
    <t>Every hour</t>
  </si>
  <si>
    <t>felix-intl-timbre-to-truecommerce-flow_felix-intl-timbre-to-truecommerce</t>
  </si>
  <si>
    <t>felix-timbre-group-to-truecommerce-flow_felix-timbre-group-to-truecommerce</t>
  </si>
  <si>
    <t>0 0/30 7-9 ? * * *</t>
  </si>
  <si>
    <t>hx-tradex-flow_hx-tradex</t>
  </si>
  <si>
    <t>icon-imagedata-flow_icon-imagedata</t>
  </si>
  <si>
    <t>icon-tradex-flow_iocn-tradex</t>
  </si>
  <si>
    <t>icon-wesupply-primary-path-flow_icon-wesupply-primary-path</t>
  </si>
  <si>
    <t>Every 2 minutes</t>
  </si>
  <si>
    <t>icon-wesupply-secondary-path-flow_icon-wesupply-secondary-path</t>
  </si>
  <si>
    <t>Icon-wincanton-flow_Icon-wincanton</t>
  </si>
  <si>
    <t>inbound-reprocesseing-scheduler-flow_Scheduler</t>
  </si>
  <si>
    <t>outbound-reprocessing-schedulerFlow_Scheduler</t>
  </si>
  <si>
    <t>tradex-icon-flow_tradex-icon</t>
  </si>
  <si>
    <t>tradex-truecommerce-impl-flow_tradex-to-truecommerce</t>
  </si>
  <si>
    <t>truecommerce-hx-flow_truecommerce-hx</t>
  </si>
  <si>
    <t>truecommerce-icon-flow_truecommerce-icon</t>
  </si>
  <si>
    <t>wesupply-icon-flow_wesupply-icon</t>
  </si>
  <si>
    <t>Every 5 minutes</t>
  </si>
  <si>
    <t>wincanton-icon-flow_Scheduler</t>
  </si>
  <si>
    <t>customer-catalogue-papi-to-icon-flow_Scheduler</t>
  </si>
  <si>
    <t>Every 3 minutes</t>
  </si>
  <si>
    <t>icon-relex-papi-flow_Scheduler</t>
  </si>
  <si>
    <t>0 0/10 * * * ?</t>
  </si>
  <si>
    <t>icon-relex-papi-reprocessing-flow_Scheduler</t>
  </si>
  <si>
    <t>0 5 8-22 ? * MON-SAT *</t>
  </si>
  <si>
    <t>po-proposal-papi-flow_Scheduler</t>
  </si>
  <si>
    <t>0 0 8 * * ? *</t>
  </si>
  <si>
    <t>relex-icon-papi-flow_Scheduler</t>
  </si>
  <si>
    <t>0 15 9 ? * MON-FRI *</t>
  </si>
  <si>
    <t>relex-no-file-notification-flow_Scheduler</t>
  </si>
  <si>
    <t>0 30 11 ? * MON-FRI</t>
  </si>
  <si>
    <t>stark-azure-no-file-notification-flow_Scheduler</t>
  </si>
  <si>
    <t>0 30 10 ? * MON-FRI</t>
  </si>
  <si>
    <t>tm1-workday-to-azure-scheduler_tm1-workday-to-azure-scheduler</t>
  </si>
  <si>
    <t>0 0 6,7 * * ? *</t>
  </si>
  <si>
    <t>cloudinary-to-datalake-stark-azure-delta-load_Trigger for Delta load</t>
  </si>
  <si>
    <t>0 0 03 ? * *</t>
  </si>
  <si>
    <t>cloudinary-to-datalake-stark-azure-full-load_Scheduler for full load stark azure</t>
  </si>
  <si>
    <t>cloudinary-to-hybris-azure-blob-delta-load_Trigger For Delta</t>
  </si>
  <si>
    <t>0 0 22 ? * *</t>
  </si>
  <si>
    <t>cloudinary-to-hybris-azure-blob-full-load_Trigger For Full Asset</t>
  </si>
  <si>
    <t>cognizant-to-mq-scheduler-flow_Scheduler</t>
  </si>
  <si>
    <t>icon-to-mq-stibo-files-schedule_2 PM everyday</t>
  </si>
  <si>
    <t>product-feed-papi-adobeFlow_Scheduler</t>
  </si>
  <si>
    <t>0 0 6 * * ? *</t>
  </si>
  <si>
    <t>product-feed-papi-bloomreach_Scheduler</t>
  </si>
  <si>
    <t>Every 15 minutes</t>
  </si>
  <si>
    <t>product-feed-papi-gmc-google-online-product-feed_Scheduler</t>
  </si>
  <si>
    <t>0 32 8 * * ? *</t>
  </si>
  <si>
    <t>product-feed-papi-gmc-local-inventory-feed_Scheduler</t>
  </si>
  <si>
    <t>0 3 9 * * ? *</t>
  </si>
  <si>
    <t>product-feed-papi-icon-stock-files_Scheduler</t>
  </si>
  <si>
    <t>0 1/15 6-1 ? * * *</t>
  </si>
  <si>
    <t>product-feed-papi-Reprocessing_Scheduler</t>
  </si>
  <si>
    <t>sfdc-accounts-etl_Scheduler</t>
  </si>
  <si>
    <t>token-generator-flow_Scheduler</t>
  </si>
  <si>
    <t>Every 6 hours</t>
  </si>
  <si>
    <t>retrieve-new-authorisation-token_retrieve new token</t>
  </si>
  <si>
    <t>Every 12 hours</t>
  </si>
  <si>
    <t>salesforce-to-phocas-datalake-scheduler_Scheduler</t>
  </si>
  <si>
    <t>0 30 0 ? * MON *</t>
  </si>
  <si>
    <t>transport-papi-icon-files-scheduler-flow_Scheduler</t>
  </si>
  <si>
    <t>0 0/15 17,18 ? * * *</t>
  </si>
  <si>
    <t>transport-papi-swift6-files-scheduler-flow_Scheduler</t>
  </si>
  <si>
    <t>0 0/15 17 ? * * *</t>
  </si>
  <si>
    <t>transport-papi-trakm8-files-scheduler-flow_Scheduler</t>
  </si>
  <si>
    <t>0 30 18 ? * MON,TUE,WED,THU,FRI,SAT *</t>
  </si>
  <si>
    <t>felix-to-bottomline-via-stark-azure-file-sapi-flow_Scheduler</t>
  </si>
  <si>
    <t>hx-to-bottomline-via-stark-azure-file-sapi-flow_Scheduler</t>
  </si>
  <si>
    <t>icon-sftp-to-bottomline-via-stark-azure-file-sapi-flow_Scheduler</t>
  </si>
  <si>
    <t>icon-to-bottomline-sapi-flow_Scheduler</t>
  </si>
  <si>
    <t>order-create-flow-regular_scheduler</t>
  </si>
  <si>
    <t>0 0/3 3-23 ? * MON,TUE,WED,THU,FRI,SAT *</t>
  </si>
  <si>
    <t>order-create-flow-sunday_scheduler</t>
  </si>
  <si>
    <t>0 0/3 6-20 ? * SUN *</t>
  </si>
  <si>
    <t>order-status-flow-regular_scheduler</t>
  </si>
  <si>
    <t>0 0/15 6-18 ? * MON,TUE,WED,THU,FRI,SAT *</t>
  </si>
  <si>
    <t>order-status-flow-sunday_scheduler</t>
  </si>
  <si>
    <t>0 0/15 10-16 ? * SUN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</si>
</sst>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3A3B3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6A6A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2" fillId="0" borderId="0" xfId="0" applyFont="1"/>
    <xf numFmtId="0" fontId="2" fillId="0" borderId="2" xfId="0" applyFont="1" applyBorder="1"/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7BE752-A95B-4EB8-B726-F8CD98CB0507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e62fd578-f63b-4097-8fc7-cf1d7661c75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EC34-0B0A-4273-A740-8E6926724B9F}">
  <dimension ref="A1:E206"/>
  <sheetViews>
    <sheetView topLeftCell="A163" workbookViewId="0">
      <selection activeCell="B189" sqref="B189"/>
    </sheetView>
  </sheetViews>
  <sheetFormatPr defaultRowHeight="15"/>
  <cols>
    <col min="1" max="1" width="6" bestFit="1" customWidth="1"/>
    <col min="2" max="2" width="31.42578125" bestFit="1" customWidth="1"/>
    <col min="3" max="3" width="30.42578125" bestFit="1" customWidth="1"/>
    <col min="4" max="4" width="11.85546875" bestFit="1" customWidth="1"/>
    <col min="5" max="5" width="51.28515625" style="1" bestFit="1" customWidth="1"/>
  </cols>
  <sheetData>
    <row r="1" spans="1:5" ht="15.7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>
        <v>1</v>
      </c>
      <c r="B2" s="6" t="s">
        <v>5</v>
      </c>
      <c r="C2" s="6" t="s">
        <v>6</v>
      </c>
      <c r="D2" s="6" t="s">
        <v>7</v>
      </c>
      <c r="E2" s="7" t="s">
        <v>8</v>
      </c>
    </row>
    <row r="3" spans="1:5">
      <c r="A3" s="5">
        <v>2</v>
      </c>
      <c r="B3" s="6" t="s">
        <v>5</v>
      </c>
      <c r="C3" s="6" t="s">
        <v>9</v>
      </c>
      <c r="D3" s="6" t="s">
        <v>7</v>
      </c>
      <c r="E3" s="7" t="s">
        <v>8</v>
      </c>
    </row>
    <row r="4" spans="1:5">
      <c r="A4" s="5">
        <v>3</v>
      </c>
      <c r="B4" s="6" t="s">
        <v>5</v>
      </c>
      <c r="C4" s="6" t="s">
        <v>10</v>
      </c>
      <c r="D4" s="6" t="s">
        <v>7</v>
      </c>
      <c r="E4" s="7" t="s">
        <v>8</v>
      </c>
    </row>
    <row r="5" spans="1:5">
      <c r="A5" s="5">
        <v>4</v>
      </c>
      <c r="B5" s="6" t="s">
        <v>5</v>
      </c>
      <c r="C5" s="6" t="s">
        <v>11</v>
      </c>
      <c r="D5" s="6" t="s">
        <v>7</v>
      </c>
      <c r="E5" s="7" t="s">
        <v>8</v>
      </c>
    </row>
    <row r="6" spans="1:5">
      <c r="A6" s="5">
        <v>5</v>
      </c>
      <c r="B6" s="6" t="s">
        <v>5</v>
      </c>
      <c r="C6" s="6" t="s">
        <v>12</v>
      </c>
      <c r="D6" s="6" t="s">
        <v>7</v>
      </c>
      <c r="E6" s="7" t="s">
        <v>8</v>
      </c>
    </row>
    <row r="7" spans="1:5">
      <c r="A7" s="5">
        <v>6</v>
      </c>
      <c r="B7" s="6" t="s">
        <v>5</v>
      </c>
      <c r="C7" s="6" t="s">
        <v>13</v>
      </c>
      <c r="D7" s="6" t="s">
        <v>7</v>
      </c>
      <c r="E7" s="7" t="s">
        <v>8</v>
      </c>
    </row>
    <row r="8" spans="1:5">
      <c r="A8" s="5">
        <v>7</v>
      </c>
      <c r="B8" s="6" t="s">
        <v>5</v>
      </c>
      <c r="C8" s="6" t="s">
        <v>14</v>
      </c>
      <c r="D8" s="6" t="s">
        <v>7</v>
      </c>
      <c r="E8" s="7" t="s">
        <v>8</v>
      </c>
    </row>
    <row r="9" spans="1:5">
      <c r="A9" s="5">
        <v>8</v>
      </c>
      <c r="B9" s="6" t="s">
        <v>5</v>
      </c>
      <c r="C9" s="6" t="s">
        <v>15</v>
      </c>
      <c r="D9" s="6" t="s">
        <v>7</v>
      </c>
      <c r="E9" s="7" t="s">
        <v>8</v>
      </c>
    </row>
    <row r="10" spans="1:5">
      <c r="A10" s="5">
        <v>9</v>
      </c>
      <c r="B10" s="6" t="s">
        <v>16</v>
      </c>
      <c r="C10" s="6" t="s">
        <v>17</v>
      </c>
      <c r="D10" s="6" t="s">
        <v>18</v>
      </c>
      <c r="E10" s="7" t="s">
        <v>8</v>
      </c>
    </row>
    <row r="11" spans="1:5">
      <c r="A11" s="5">
        <v>10</v>
      </c>
      <c r="B11" s="6" t="s">
        <v>16</v>
      </c>
      <c r="C11" s="6" t="s">
        <v>19</v>
      </c>
      <c r="D11" s="6" t="s">
        <v>18</v>
      </c>
      <c r="E11" s="7" t="s">
        <v>8</v>
      </c>
    </row>
    <row r="12" spans="1:5">
      <c r="A12" s="5">
        <v>11</v>
      </c>
      <c r="B12" s="6" t="s">
        <v>16</v>
      </c>
      <c r="C12" s="6" t="s">
        <v>20</v>
      </c>
      <c r="D12" s="6" t="s">
        <v>18</v>
      </c>
      <c r="E12" s="7" t="s">
        <v>8</v>
      </c>
    </row>
    <row r="13" spans="1:5">
      <c r="A13" s="5">
        <v>12</v>
      </c>
      <c r="B13" s="6" t="s">
        <v>21</v>
      </c>
      <c r="C13" s="6" t="s">
        <v>22</v>
      </c>
      <c r="D13" s="6" t="s">
        <v>18</v>
      </c>
      <c r="E13" s="7" t="s">
        <v>8</v>
      </c>
    </row>
    <row r="14" spans="1:5">
      <c r="A14" s="5">
        <v>13</v>
      </c>
      <c r="B14" s="6" t="s">
        <v>21</v>
      </c>
      <c r="C14" s="6" t="s">
        <v>23</v>
      </c>
      <c r="D14" s="6" t="s">
        <v>18</v>
      </c>
      <c r="E14" s="7" t="s">
        <v>8</v>
      </c>
    </row>
    <row r="15" spans="1:5">
      <c r="A15" s="5">
        <v>14</v>
      </c>
      <c r="B15" s="6" t="s">
        <v>21</v>
      </c>
      <c r="C15" s="6" t="s">
        <v>9</v>
      </c>
      <c r="D15" s="6" t="s">
        <v>18</v>
      </c>
      <c r="E15" s="7" t="s">
        <v>8</v>
      </c>
    </row>
    <row r="16" spans="1:5">
      <c r="A16" s="5">
        <v>15</v>
      </c>
      <c r="B16" s="6" t="s">
        <v>21</v>
      </c>
      <c r="C16" s="6" t="s">
        <v>24</v>
      </c>
      <c r="D16" s="6" t="s">
        <v>18</v>
      </c>
      <c r="E16" s="7" t="s">
        <v>8</v>
      </c>
    </row>
    <row r="17" spans="1:5">
      <c r="A17" s="5">
        <v>16</v>
      </c>
      <c r="B17" s="8" t="s">
        <v>25</v>
      </c>
      <c r="C17" s="8" t="s">
        <v>6</v>
      </c>
      <c r="D17" s="6" t="s">
        <v>26</v>
      </c>
      <c r="E17" s="7" t="s">
        <v>27</v>
      </c>
    </row>
    <row r="18" spans="1:5">
      <c r="A18" s="5">
        <v>17</v>
      </c>
      <c r="B18" s="8" t="s">
        <v>25</v>
      </c>
      <c r="C18" s="8" t="s">
        <v>9</v>
      </c>
      <c r="D18" s="6" t="s">
        <v>26</v>
      </c>
      <c r="E18" s="7" t="s">
        <v>28</v>
      </c>
    </row>
    <row r="19" spans="1:5">
      <c r="A19" s="5">
        <v>18</v>
      </c>
      <c r="B19" s="9" t="s">
        <v>25</v>
      </c>
      <c r="C19" s="9" t="s">
        <v>29</v>
      </c>
      <c r="D19" s="6" t="s">
        <v>26</v>
      </c>
      <c r="E19" s="7" t="s">
        <v>8</v>
      </c>
    </row>
    <row r="20" spans="1:5">
      <c r="A20" s="5">
        <v>19</v>
      </c>
      <c r="B20" s="8" t="s">
        <v>25</v>
      </c>
      <c r="C20" s="8" t="s">
        <v>30</v>
      </c>
      <c r="D20" s="6" t="s">
        <v>26</v>
      </c>
      <c r="E20" s="7" t="s">
        <v>27</v>
      </c>
    </row>
    <row r="21" spans="1:5">
      <c r="A21" s="5">
        <v>20</v>
      </c>
      <c r="B21" s="8" t="s">
        <v>25</v>
      </c>
      <c r="C21" s="8" t="s">
        <v>11</v>
      </c>
      <c r="D21" s="6" t="s">
        <v>26</v>
      </c>
      <c r="E21" s="7" t="s">
        <v>28</v>
      </c>
    </row>
    <row r="22" spans="1:5">
      <c r="A22" s="5">
        <v>21</v>
      </c>
      <c r="B22" s="6" t="s">
        <v>31</v>
      </c>
      <c r="C22" s="6" t="s">
        <v>32</v>
      </c>
      <c r="D22" s="6" t="s">
        <v>18</v>
      </c>
      <c r="E22" s="7" t="s">
        <v>8</v>
      </c>
    </row>
    <row r="23" spans="1:5">
      <c r="A23" s="5">
        <v>22</v>
      </c>
      <c r="B23" s="6" t="s">
        <v>31</v>
      </c>
      <c r="C23" s="6" t="s">
        <v>23</v>
      </c>
      <c r="D23" s="6" t="s">
        <v>18</v>
      </c>
      <c r="E23" s="7" t="s">
        <v>8</v>
      </c>
    </row>
    <row r="24" spans="1:5">
      <c r="A24" s="5">
        <v>23</v>
      </c>
      <c r="B24" s="6" t="s">
        <v>31</v>
      </c>
      <c r="C24" s="6" t="s">
        <v>9</v>
      </c>
      <c r="D24" s="6" t="s">
        <v>18</v>
      </c>
      <c r="E24" s="7" t="s">
        <v>8</v>
      </c>
    </row>
    <row r="25" spans="1:5">
      <c r="A25" s="5">
        <v>24</v>
      </c>
      <c r="B25" s="6" t="s">
        <v>31</v>
      </c>
      <c r="C25" s="6" t="s">
        <v>24</v>
      </c>
      <c r="D25" s="6" t="s">
        <v>18</v>
      </c>
      <c r="E25" s="7" t="s">
        <v>8</v>
      </c>
    </row>
    <row r="26" spans="1:5">
      <c r="A26" s="5">
        <v>25</v>
      </c>
      <c r="B26" s="6" t="s">
        <v>33</v>
      </c>
      <c r="C26" s="6" t="s">
        <v>34</v>
      </c>
      <c r="D26" s="6" t="s">
        <v>7</v>
      </c>
      <c r="E26" s="7" t="s">
        <v>8</v>
      </c>
    </row>
    <row r="27" spans="1:5">
      <c r="A27" s="5">
        <v>26</v>
      </c>
      <c r="B27" s="6" t="s">
        <v>33</v>
      </c>
      <c r="C27" s="6" t="s">
        <v>35</v>
      </c>
      <c r="D27" s="6" t="s">
        <v>7</v>
      </c>
      <c r="E27" s="7" t="s">
        <v>8</v>
      </c>
    </row>
    <row r="28" spans="1:5">
      <c r="A28" s="5">
        <v>27</v>
      </c>
      <c r="B28" s="6" t="s">
        <v>33</v>
      </c>
      <c r="C28" s="6" t="s">
        <v>36</v>
      </c>
      <c r="D28" s="6" t="s">
        <v>7</v>
      </c>
      <c r="E28" s="7" t="s">
        <v>8</v>
      </c>
    </row>
    <row r="29" spans="1:5">
      <c r="A29" s="5">
        <v>28</v>
      </c>
      <c r="B29" s="6" t="s">
        <v>33</v>
      </c>
      <c r="C29" s="6" t="s">
        <v>37</v>
      </c>
      <c r="D29" s="6" t="s">
        <v>7</v>
      </c>
      <c r="E29" s="7" t="s">
        <v>8</v>
      </c>
    </row>
    <row r="30" spans="1:5">
      <c r="A30" s="5">
        <v>29</v>
      </c>
      <c r="B30" s="6" t="s">
        <v>33</v>
      </c>
      <c r="C30" s="6" t="s">
        <v>38</v>
      </c>
      <c r="D30" s="6" t="s">
        <v>7</v>
      </c>
      <c r="E30" s="7" t="s">
        <v>8</v>
      </c>
    </row>
    <row r="31" spans="1:5">
      <c r="A31" s="5">
        <v>30</v>
      </c>
      <c r="B31" s="6" t="s">
        <v>33</v>
      </c>
      <c r="C31" s="6" t="s">
        <v>24</v>
      </c>
      <c r="D31" s="6" t="s">
        <v>7</v>
      </c>
      <c r="E31" s="7" t="s">
        <v>8</v>
      </c>
    </row>
    <row r="32" spans="1:5">
      <c r="A32" s="5">
        <v>31</v>
      </c>
      <c r="B32" s="6" t="s">
        <v>39</v>
      </c>
      <c r="C32" s="6" t="s">
        <v>40</v>
      </c>
      <c r="D32" s="6" t="s">
        <v>26</v>
      </c>
      <c r="E32" s="7" t="s">
        <v>41</v>
      </c>
    </row>
    <row r="33" spans="1:5">
      <c r="A33" s="5">
        <v>32</v>
      </c>
      <c r="B33" s="6" t="s">
        <v>39</v>
      </c>
      <c r="C33" s="6" t="s">
        <v>30</v>
      </c>
      <c r="D33" s="6" t="s">
        <v>26</v>
      </c>
      <c r="E33" s="7" t="s">
        <v>41</v>
      </c>
    </row>
    <row r="34" spans="1:5">
      <c r="A34" s="5">
        <v>33</v>
      </c>
      <c r="B34" s="6" t="s">
        <v>39</v>
      </c>
      <c r="C34" s="6" t="s">
        <v>42</v>
      </c>
      <c r="D34" s="6" t="s">
        <v>26</v>
      </c>
      <c r="E34" s="7" t="s">
        <v>41</v>
      </c>
    </row>
    <row r="35" spans="1:5">
      <c r="A35" s="5">
        <v>34</v>
      </c>
      <c r="B35" s="6" t="s">
        <v>43</v>
      </c>
      <c r="C35" s="6" t="s">
        <v>44</v>
      </c>
      <c r="D35" s="6" t="s">
        <v>7</v>
      </c>
      <c r="E35" s="7" t="s">
        <v>41</v>
      </c>
    </row>
    <row r="36" spans="1:5">
      <c r="A36" s="5">
        <v>35</v>
      </c>
      <c r="B36" s="6" t="s">
        <v>43</v>
      </c>
      <c r="C36" s="6" t="s">
        <v>45</v>
      </c>
      <c r="D36" s="6" t="s">
        <v>7</v>
      </c>
      <c r="E36" s="7" t="s">
        <v>41</v>
      </c>
    </row>
    <row r="37" spans="1:5">
      <c r="A37" s="5">
        <v>36</v>
      </c>
      <c r="B37" s="6" t="s">
        <v>43</v>
      </c>
      <c r="C37" s="6" t="s">
        <v>29</v>
      </c>
      <c r="D37" s="6" t="s">
        <v>7</v>
      </c>
      <c r="E37" s="7" t="s">
        <v>41</v>
      </c>
    </row>
    <row r="38" spans="1:5">
      <c r="A38" s="5">
        <v>37</v>
      </c>
      <c r="B38" s="6" t="s">
        <v>43</v>
      </c>
      <c r="C38" s="6" t="s">
        <v>46</v>
      </c>
      <c r="D38" s="6" t="s">
        <v>7</v>
      </c>
      <c r="E38" s="7" t="s">
        <v>41</v>
      </c>
    </row>
    <row r="39" spans="1:5">
      <c r="A39" s="5">
        <v>38</v>
      </c>
      <c r="B39" s="10" t="s">
        <v>47</v>
      </c>
      <c r="C39" s="10" t="s">
        <v>48</v>
      </c>
      <c r="D39" s="6" t="s">
        <v>18</v>
      </c>
      <c r="E39" s="7" t="s">
        <v>49</v>
      </c>
    </row>
    <row r="40" spans="1:5">
      <c r="A40" s="5">
        <v>39</v>
      </c>
      <c r="B40" s="10" t="s">
        <v>47</v>
      </c>
      <c r="C40" s="10" t="s">
        <v>45</v>
      </c>
      <c r="D40" s="6" t="s">
        <v>18</v>
      </c>
      <c r="E40" s="7" t="s">
        <v>49</v>
      </c>
    </row>
    <row r="41" spans="1:5">
      <c r="A41" s="5">
        <v>40</v>
      </c>
      <c r="B41" s="10" t="s">
        <v>50</v>
      </c>
      <c r="C41" s="10" t="s">
        <v>44</v>
      </c>
      <c r="D41" s="6" t="s">
        <v>7</v>
      </c>
      <c r="E41" s="7" t="s">
        <v>49</v>
      </c>
    </row>
    <row r="42" spans="1:5">
      <c r="A42" s="5">
        <v>41</v>
      </c>
      <c r="B42" s="10" t="s">
        <v>50</v>
      </c>
      <c r="C42" s="10" t="s">
        <v>45</v>
      </c>
      <c r="D42" s="6" t="s">
        <v>7</v>
      </c>
      <c r="E42" s="7" t="s">
        <v>49</v>
      </c>
    </row>
    <row r="43" spans="1:5">
      <c r="A43" s="5">
        <v>42</v>
      </c>
      <c r="B43" s="10" t="s">
        <v>50</v>
      </c>
      <c r="C43" s="10" t="s">
        <v>51</v>
      </c>
      <c r="D43" s="6" t="s">
        <v>7</v>
      </c>
      <c r="E43" s="7" t="s">
        <v>49</v>
      </c>
    </row>
    <row r="44" spans="1:5">
      <c r="A44" s="5">
        <v>43</v>
      </c>
      <c r="B44" s="10" t="s">
        <v>52</v>
      </c>
      <c r="C44" s="10" t="s">
        <v>53</v>
      </c>
      <c r="D44" s="6" t="s">
        <v>26</v>
      </c>
      <c r="E44" s="7" t="s">
        <v>49</v>
      </c>
    </row>
    <row r="45" spans="1:5">
      <c r="A45" s="5">
        <v>44</v>
      </c>
      <c r="B45" s="10" t="s">
        <v>52</v>
      </c>
      <c r="C45" s="10" t="s">
        <v>54</v>
      </c>
      <c r="D45" s="6" t="s">
        <v>26</v>
      </c>
      <c r="E45" s="7" t="s">
        <v>49</v>
      </c>
    </row>
    <row r="46" spans="1:5">
      <c r="A46" s="5">
        <v>45</v>
      </c>
      <c r="B46" s="10" t="s">
        <v>52</v>
      </c>
      <c r="C46" s="10" t="s">
        <v>55</v>
      </c>
      <c r="D46" s="6" t="s">
        <v>26</v>
      </c>
      <c r="E46" s="7" t="s">
        <v>49</v>
      </c>
    </row>
    <row r="47" spans="1:5">
      <c r="A47" s="5">
        <v>46</v>
      </c>
      <c r="B47" s="9" t="s">
        <v>56</v>
      </c>
      <c r="C47" s="9" t="s">
        <v>57</v>
      </c>
      <c r="D47" s="6" t="s">
        <v>26</v>
      </c>
      <c r="E47" s="7" t="s">
        <v>8</v>
      </c>
    </row>
    <row r="48" spans="1:5">
      <c r="A48" s="5">
        <v>47</v>
      </c>
      <c r="B48" s="10" t="s">
        <v>56</v>
      </c>
      <c r="C48" s="10" t="s">
        <v>37</v>
      </c>
      <c r="D48" s="6" t="s">
        <v>26</v>
      </c>
      <c r="E48" s="7" t="s">
        <v>49</v>
      </c>
    </row>
    <row r="49" spans="1:5">
      <c r="A49" s="5">
        <v>48</v>
      </c>
      <c r="B49" s="9" t="s">
        <v>56</v>
      </c>
      <c r="C49" s="9" t="s">
        <v>58</v>
      </c>
      <c r="D49" s="6" t="s">
        <v>26</v>
      </c>
      <c r="E49" s="7" t="s">
        <v>8</v>
      </c>
    </row>
    <row r="50" spans="1:5">
      <c r="A50" s="5">
        <v>49</v>
      </c>
      <c r="B50" s="9" t="s">
        <v>56</v>
      </c>
      <c r="C50" s="9" t="s">
        <v>11</v>
      </c>
      <c r="D50" s="6" t="s">
        <v>26</v>
      </c>
      <c r="E50" s="7" t="s">
        <v>8</v>
      </c>
    </row>
    <row r="51" spans="1:5">
      <c r="A51" s="5">
        <v>50</v>
      </c>
      <c r="B51" s="9" t="s">
        <v>56</v>
      </c>
      <c r="C51" s="9" t="s">
        <v>30</v>
      </c>
      <c r="D51" s="6" t="s">
        <v>26</v>
      </c>
      <c r="E51" s="7" t="s">
        <v>8</v>
      </c>
    </row>
    <row r="52" spans="1:5">
      <c r="A52" s="5">
        <v>51</v>
      </c>
      <c r="B52" s="9" t="s">
        <v>56</v>
      </c>
      <c r="C52" s="9" t="s">
        <v>29</v>
      </c>
      <c r="D52" s="6" t="s">
        <v>26</v>
      </c>
      <c r="E52" s="7" t="s">
        <v>8</v>
      </c>
    </row>
    <row r="53" spans="1:5">
      <c r="A53" s="5">
        <v>52</v>
      </c>
      <c r="B53" s="8" t="s">
        <v>59</v>
      </c>
      <c r="C53" s="8" t="s">
        <v>60</v>
      </c>
      <c r="D53" s="6" t="s">
        <v>26</v>
      </c>
      <c r="E53" s="7" t="s">
        <v>61</v>
      </c>
    </row>
    <row r="54" spans="1:5">
      <c r="A54" s="5">
        <v>53</v>
      </c>
      <c r="B54" s="9" t="s">
        <v>59</v>
      </c>
      <c r="C54" s="9" t="s">
        <v>29</v>
      </c>
      <c r="D54" s="6" t="s">
        <v>26</v>
      </c>
      <c r="E54" s="7" t="s">
        <v>8</v>
      </c>
    </row>
    <row r="55" spans="1:5">
      <c r="A55" s="5">
        <v>54</v>
      </c>
      <c r="B55" s="8" t="s">
        <v>59</v>
      </c>
      <c r="C55" s="8" t="s">
        <v>11</v>
      </c>
      <c r="D55" s="6" t="s">
        <v>26</v>
      </c>
      <c r="E55" s="7" t="s">
        <v>61</v>
      </c>
    </row>
    <row r="56" spans="1:5">
      <c r="A56" s="5">
        <v>55</v>
      </c>
      <c r="B56" s="9" t="s">
        <v>59</v>
      </c>
      <c r="C56" s="9" t="s">
        <v>30</v>
      </c>
      <c r="D56" s="6" t="s">
        <v>26</v>
      </c>
      <c r="E56" s="7" t="s">
        <v>8</v>
      </c>
    </row>
    <row r="57" spans="1:5">
      <c r="A57" s="5">
        <v>56</v>
      </c>
      <c r="B57" s="9" t="s">
        <v>59</v>
      </c>
      <c r="C57" s="9" t="s">
        <v>62</v>
      </c>
      <c r="D57" s="6" t="s">
        <v>26</v>
      </c>
      <c r="E57" s="7" t="s">
        <v>8</v>
      </c>
    </row>
    <row r="58" spans="1:5">
      <c r="A58" s="5">
        <v>57</v>
      </c>
      <c r="B58" s="8" t="s">
        <v>59</v>
      </c>
      <c r="C58" s="8" t="s">
        <v>63</v>
      </c>
      <c r="D58" s="6" t="s">
        <v>26</v>
      </c>
      <c r="E58" s="7" t="s">
        <v>61</v>
      </c>
    </row>
    <row r="59" spans="1:5">
      <c r="A59" s="5">
        <v>58</v>
      </c>
      <c r="B59" s="9" t="s">
        <v>64</v>
      </c>
      <c r="C59" s="9" t="s">
        <v>54</v>
      </c>
      <c r="D59" s="6" t="s">
        <v>26</v>
      </c>
      <c r="E59" s="7" t="s">
        <v>8</v>
      </c>
    </row>
    <row r="60" spans="1:5">
      <c r="A60" s="5">
        <v>59</v>
      </c>
      <c r="B60" s="9" t="s">
        <v>64</v>
      </c>
      <c r="C60" s="9" t="s">
        <v>11</v>
      </c>
      <c r="D60" s="6" t="s">
        <v>26</v>
      </c>
      <c r="E60" s="7" t="s">
        <v>8</v>
      </c>
    </row>
    <row r="61" spans="1:5">
      <c r="A61" s="5">
        <v>60</v>
      </c>
      <c r="B61" s="9" t="s">
        <v>64</v>
      </c>
      <c r="C61" s="9" t="s">
        <v>29</v>
      </c>
      <c r="D61" s="6" t="s">
        <v>26</v>
      </c>
      <c r="E61" s="7" t="s">
        <v>8</v>
      </c>
    </row>
    <row r="62" spans="1:5">
      <c r="A62" s="5">
        <v>61</v>
      </c>
      <c r="B62" s="9" t="s">
        <v>64</v>
      </c>
      <c r="C62" s="9" t="s">
        <v>55</v>
      </c>
      <c r="D62" s="6" t="s">
        <v>26</v>
      </c>
      <c r="E62" s="7" t="s">
        <v>8</v>
      </c>
    </row>
    <row r="63" spans="1:5">
      <c r="A63" s="5">
        <v>62</v>
      </c>
      <c r="B63" s="9" t="s">
        <v>65</v>
      </c>
      <c r="C63" s="9" t="s">
        <v>54</v>
      </c>
      <c r="D63" s="6" t="s">
        <v>26</v>
      </c>
      <c r="E63" s="7" t="s">
        <v>8</v>
      </c>
    </row>
    <row r="64" spans="1:5">
      <c r="A64" s="5">
        <v>63</v>
      </c>
      <c r="B64" s="9" t="s">
        <v>65</v>
      </c>
      <c r="C64" s="9" t="s">
        <v>11</v>
      </c>
      <c r="D64" s="6" t="s">
        <v>26</v>
      </c>
      <c r="E64" s="7" t="s">
        <v>8</v>
      </c>
    </row>
    <row r="65" spans="1:5">
      <c r="A65" s="5">
        <v>64</v>
      </c>
      <c r="B65" s="9" t="s">
        <v>65</v>
      </c>
      <c r="C65" s="9" t="s">
        <v>29</v>
      </c>
      <c r="D65" s="6" t="s">
        <v>26</v>
      </c>
      <c r="E65" s="7" t="s">
        <v>8</v>
      </c>
    </row>
    <row r="66" spans="1:5">
      <c r="A66" s="5">
        <v>65</v>
      </c>
      <c r="B66" s="9" t="s">
        <v>65</v>
      </c>
      <c r="C66" s="9" t="s">
        <v>55</v>
      </c>
      <c r="D66" s="6" t="s">
        <v>26</v>
      </c>
      <c r="E66" s="7" t="s">
        <v>8</v>
      </c>
    </row>
    <row r="67" spans="1:5">
      <c r="A67" s="5">
        <v>66</v>
      </c>
      <c r="B67" s="6" t="s">
        <v>66</v>
      </c>
      <c r="C67" s="6" t="s">
        <v>67</v>
      </c>
      <c r="D67" s="6" t="s">
        <v>18</v>
      </c>
      <c r="E67" s="7" t="s">
        <v>8</v>
      </c>
    </row>
    <row r="68" spans="1:5">
      <c r="A68" s="5">
        <v>67</v>
      </c>
      <c r="B68" s="6" t="s">
        <v>66</v>
      </c>
      <c r="C68" s="6" t="s">
        <v>36</v>
      </c>
      <c r="D68" s="6" t="s">
        <v>18</v>
      </c>
      <c r="E68" s="7" t="s">
        <v>8</v>
      </c>
    </row>
    <row r="69" spans="1:5">
      <c r="A69" s="5">
        <v>68</v>
      </c>
      <c r="B69" s="6" t="s">
        <v>66</v>
      </c>
      <c r="C69" s="6" t="s">
        <v>24</v>
      </c>
      <c r="D69" s="6" t="s">
        <v>18</v>
      </c>
      <c r="E69" s="7" t="s">
        <v>8</v>
      </c>
    </row>
    <row r="70" spans="1:5">
      <c r="A70" s="5">
        <v>69</v>
      </c>
      <c r="B70" s="9" t="s">
        <v>68</v>
      </c>
      <c r="C70" s="9" t="s">
        <v>69</v>
      </c>
      <c r="D70" s="6" t="s">
        <v>26</v>
      </c>
      <c r="E70" s="7" t="s">
        <v>8</v>
      </c>
    </row>
    <row r="71" spans="1:5">
      <c r="A71" s="5">
        <v>70</v>
      </c>
      <c r="B71" s="9" t="s">
        <v>68</v>
      </c>
      <c r="C71" s="9" t="s">
        <v>42</v>
      </c>
      <c r="D71" s="6" t="s">
        <v>26</v>
      </c>
      <c r="E71" s="7" t="s">
        <v>8</v>
      </c>
    </row>
    <row r="72" spans="1:5">
      <c r="A72" s="5">
        <v>71</v>
      </c>
      <c r="B72" s="9" t="s">
        <v>68</v>
      </c>
      <c r="C72" s="9" t="s">
        <v>29</v>
      </c>
      <c r="D72" s="6" t="s">
        <v>26</v>
      </c>
      <c r="E72" s="7" t="s">
        <v>8</v>
      </c>
    </row>
    <row r="73" spans="1:5">
      <c r="A73" s="5">
        <v>72</v>
      </c>
      <c r="B73" s="9" t="s">
        <v>68</v>
      </c>
      <c r="C73" s="9" t="s">
        <v>11</v>
      </c>
      <c r="D73" s="6" t="s">
        <v>26</v>
      </c>
      <c r="E73" s="7" t="s">
        <v>8</v>
      </c>
    </row>
    <row r="74" spans="1:5">
      <c r="A74" s="5">
        <v>73</v>
      </c>
      <c r="B74" s="6" t="s">
        <v>68</v>
      </c>
      <c r="C74" s="6" t="s">
        <v>70</v>
      </c>
      <c r="D74" s="6" t="s">
        <v>26</v>
      </c>
      <c r="E74" s="7" t="s">
        <v>71</v>
      </c>
    </row>
    <row r="75" spans="1:5">
      <c r="A75" s="5">
        <v>74</v>
      </c>
      <c r="B75" s="6" t="s">
        <v>72</v>
      </c>
      <c r="C75" s="6" t="s">
        <v>73</v>
      </c>
      <c r="D75" s="6" t="s">
        <v>7</v>
      </c>
      <c r="E75" s="7" t="s">
        <v>8</v>
      </c>
    </row>
    <row r="76" spans="1:5">
      <c r="A76" s="5">
        <v>75</v>
      </c>
      <c r="B76" s="6" t="s">
        <v>72</v>
      </c>
      <c r="C76" s="6" t="s">
        <v>17</v>
      </c>
      <c r="D76" s="6" t="s">
        <v>7</v>
      </c>
      <c r="E76" s="7" t="s">
        <v>8</v>
      </c>
    </row>
    <row r="77" spans="1:5">
      <c r="A77" s="5">
        <v>76</v>
      </c>
      <c r="B77" s="6" t="s">
        <v>72</v>
      </c>
      <c r="C77" s="6" t="s">
        <v>74</v>
      </c>
      <c r="D77" s="6" t="s">
        <v>7</v>
      </c>
      <c r="E77" s="7" t="s">
        <v>8</v>
      </c>
    </row>
    <row r="78" spans="1:5">
      <c r="A78" s="5">
        <v>77</v>
      </c>
      <c r="B78" s="6" t="s">
        <v>72</v>
      </c>
      <c r="C78" s="6" t="s">
        <v>75</v>
      </c>
      <c r="D78" s="6" t="s">
        <v>7</v>
      </c>
      <c r="E78" s="7" t="s">
        <v>8</v>
      </c>
    </row>
    <row r="79" spans="1:5">
      <c r="A79" s="5">
        <v>78</v>
      </c>
      <c r="B79" s="6" t="s">
        <v>72</v>
      </c>
      <c r="C79" s="6" t="s">
        <v>76</v>
      </c>
      <c r="D79" s="6" t="s">
        <v>7</v>
      </c>
      <c r="E79" s="7" t="s">
        <v>8</v>
      </c>
    </row>
    <row r="80" spans="1:5">
      <c r="A80" s="5">
        <v>79</v>
      </c>
      <c r="B80" s="6" t="s">
        <v>72</v>
      </c>
      <c r="C80" s="6" t="s">
        <v>77</v>
      </c>
      <c r="D80" s="6" t="s">
        <v>7</v>
      </c>
      <c r="E80" s="7" t="s">
        <v>8</v>
      </c>
    </row>
    <row r="81" spans="1:5">
      <c r="A81" s="5">
        <v>80</v>
      </c>
      <c r="B81" s="6" t="s">
        <v>72</v>
      </c>
      <c r="C81" s="6" t="s">
        <v>78</v>
      </c>
      <c r="D81" s="6" t="s">
        <v>7</v>
      </c>
      <c r="E81" s="7" t="s">
        <v>8</v>
      </c>
    </row>
    <row r="82" spans="1:5">
      <c r="A82" s="5">
        <v>81</v>
      </c>
      <c r="B82" s="9" t="s">
        <v>79</v>
      </c>
      <c r="C82" s="9" t="s">
        <v>80</v>
      </c>
      <c r="D82" s="6" t="s">
        <v>26</v>
      </c>
      <c r="E82" s="7" t="s">
        <v>8</v>
      </c>
    </row>
    <row r="83" spans="1:5">
      <c r="A83" s="5">
        <v>82</v>
      </c>
      <c r="B83" s="9" t="s">
        <v>79</v>
      </c>
      <c r="C83" s="9" t="s">
        <v>29</v>
      </c>
      <c r="D83" s="6" t="s">
        <v>26</v>
      </c>
      <c r="E83" s="7" t="s">
        <v>8</v>
      </c>
    </row>
    <row r="84" spans="1:5">
      <c r="A84" s="5">
        <v>83</v>
      </c>
      <c r="B84" s="9" t="s">
        <v>79</v>
      </c>
      <c r="C84" s="9" t="s">
        <v>11</v>
      </c>
      <c r="D84" s="6" t="s">
        <v>26</v>
      </c>
      <c r="E84" s="7" t="s">
        <v>8</v>
      </c>
    </row>
    <row r="85" spans="1:5">
      <c r="A85" s="5">
        <v>84</v>
      </c>
      <c r="B85" s="9" t="s">
        <v>79</v>
      </c>
      <c r="C85" s="9" t="s">
        <v>30</v>
      </c>
      <c r="D85" s="6" t="s">
        <v>26</v>
      </c>
      <c r="E85" s="7" t="s">
        <v>8</v>
      </c>
    </row>
    <row r="86" spans="1:5">
      <c r="A86" s="5">
        <v>85</v>
      </c>
      <c r="B86" s="9" t="s">
        <v>79</v>
      </c>
      <c r="C86" s="9" t="s">
        <v>17</v>
      </c>
      <c r="D86" s="6" t="s">
        <v>26</v>
      </c>
      <c r="E86" s="7" t="s">
        <v>8</v>
      </c>
    </row>
    <row r="87" spans="1:5">
      <c r="A87" s="5">
        <v>86</v>
      </c>
      <c r="B87" s="10" t="s">
        <v>81</v>
      </c>
      <c r="C87" s="10" t="s">
        <v>82</v>
      </c>
      <c r="D87" s="6" t="s">
        <v>18</v>
      </c>
      <c r="E87" s="7" t="s">
        <v>49</v>
      </c>
    </row>
    <row r="88" spans="1:5">
      <c r="A88" s="5">
        <v>87</v>
      </c>
      <c r="B88" s="10" t="s">
        <v>81</v>
      </c>
      <c r="C88" s="10" t="s">
        <v>83</v>
      </c>
      <c r="D88" s="6" t="s">
        <v>18</v>
      </c>
      <c r="E88" s="7" t="s">
        <v>49</v>
      </c>
    </row>
    <row r="89" spans="1:5">
      <c r="A89" s="5">
        <v>88</v>
      </c>
      <c r="B89" s="10" t="s">
        <v>81</v>
      </c>
      <c r="C89" s="10" t="s">
        <v>84</v>
      </c>
      <c r="D89" s="6" t="s">
        <v>18</v>
      </c>
      <c r="E89" s="7" t="s">
        <v>49</v>
      </c>
    </row>
    <row r="90" spans="1:5">
      <c r="A90" s="5">
        <v>89</v>
      </c>
      <c r="B90" s="10" t="s">
        <v>85</v>
      </c>
      <c r="C90" s="10" t="s">
        <v>86</v>
      </c>
      <c r="D90" s="6" t="s">
        <v>26</v>
      </c>
      <c r="E90" s="7" t="s">
        <v>49</v>
      </c>
    </row>
    <row r="91" spans="1:5">
      <c r="A91" s="5">
        <v>90</v>
      </c>
      <c r="B91" s="10" t="s">
        <v>85</v>
      </c>
      <c r="C91" s="10" t="s">
        <v>87</v>
      </c>
      <c r="D91" s="6" t="s">
        <v>26</v>
      </c>
      <c r="E91" s="7" t="s">
        <v>49</v>
      </c>
    </row>
    <row r="92" spans="1:5">
      <c r="A92" s="5">
        <v>91</v>
      </c>
      <c r="B92" s="10" t="s">
        <v>85</v>
      </c>
      <c r="C92" s="10" t="s">
        <v>29</v>
      </c>
      <c r="D92" s="6" t="s">
        <v>26</v>
      </c>
      <c r="E92" s="7" t="s">
        <v>49</v>
      </c>
    </row>
    <row r="93" spans="1:5">
      <c r="A93" s="5">
        <v>92</v>
      </c>
      <c r="B93" s="10" t="s">
        <v>85</v>
      </c>
      <c r="C93" s="10" t="s">
        <v>9</v>
      </c>
      <c r="D93" s="6" t="s">
        <v>26</v>
      </c>
      <c r="E93" s="7" t="s">
        <v>49</v>
      </c>
    </row>
    <row r="94" spans="1:5">
      <c r="A94" s="5">
        <v>93</v>
      </c>
      <c r="B94" s="10" t="s">
        <v>88</v>
      </c>
      <c r="C94" s="10" t="s">
        <v>29</v>
      </c>
      <c r="D94" s="6" t="s">
        <v>26</v>
      </c>
      <c r="E94" s="7" t="s">
        <v>49</v>
      </c>
    </row>
    <row r="95" spans="1:5">
      <c r="A95" s="5">
        <v>94</v>
      </c>
      <c r="B95" s="10" t="s">
        <v>88</v>
      </c>
      <c r="C95" s="10" t="s">
        <v>89</v>
      </c>
      <c r="D95" s="6" t="s">
        <v>26</v>
      </c>
      <c r="E95" s="7" t="s">
        <v>49</v>
      </c>
    </row>
    <row r="96" spans="1:5">
      <c r="A96" s="5">
        <v>95</v>
      </c>
      <c r="B96" s="10" t="s">
        <v>88</v>
      </c>
      <c r="C96" s="10" t="s">
        <v>90</v>
      </c>
      <c r="D96" s="6" t="s">
        <v>26</v>
      </c>
      <c r="E96" s="7" t="s">
        <v>49</v>
      </c>
    </row>
    <row r="97" spans="1:5">
      <c r="A97" s="5">
        <v>96</v>
      </c>
      <c r="B97" s="9" t="s">
        <v>91</v>
      </c>
      <c r="C97" s="9" t="s">
        <v>40</v>
      </c>
      <c r="D97" s="6" t="s">
        <v>26</v>
      </c>
      <c r="E97" s="7" t="s">
        <v>8</v>
      </c>
    </row>
    <row r="98" spans="1:5">
      <c r="A98" s="5">
        <v>97</v>
      </c>
      <c r="B98" s="9" t="s">
        <v>91</v>
      </c>
      <c r="C98" s="9" t="s">
        <v>29</v>
      </c>
      <c r="D98" s="6" t="s">
        <v>26</v>
      </c>
      <c r="E98" s="7" t="s">
        <v>8</v>
      </c>
    </row>
    <row r="99" spans="1:5">
      <c r="A99" s="5">
        <v>98</v>
      </c>
      <c r="B99" s="9" t="s">
        <v>91</v>
      </c>
      <c r="C99" s="9" t="s">
        <v>30</v>
      </c>
      <c r="D99" s="6" t="s">
        <v>26</v>
      </c>
      <c r="E99" s="7" t="s">
        <v>8</v>
      </c>
    </row>
    <row r="100" spans="1:5">
      <c r="A100" s="5">
        <v>99</v>
      </c>
      <c r="B100" s="9" t="s">
        <v>92</v>
      </c>
      <c r="C100" s="9" t="s">
        <v>10</v>
      </c>
      <c r="D100" s="6" t="s">
        <v>26</v>
      </c>
      <c r="E100" s="7" t="s">
        <v>8</v>
      </c>
    </row>
    <row r="101" spans="1:5">
      <c r="A101" s="5">
        <v>100</v>
      </c>
      <c r="B101" s="9" t="s">
        <v>92</v>
      </c>
      <c r="C101" s="9" t="s">
        <v>29</v>
      </c>
      <c r="D101" s="6" t="s">
        <v>26</v>
      </c>
      <c r="E101" s="7" t="s">
        <v>8</v>
      </c>
    </row>
    <row r="102" spans="1:5">
      <c r="A102" s="5">
        <v>101</v>
      </c>
      <c r="B102" s="9" t="s">
        <v>92</v>
      </c>
      <c r="C102" s="9" t="s">
        <v>30</v>
      </c>
      <c r="D102" s="6" t="s">
        <v>26</v>
      </c>
      <c r="E102" s="7" t="s">
        <v>8</v>
      </c>
    </row>
    <row r="103" spans="1:5">
      <c r="A103" s="5">
        <v>102</v>
      </c>
      <c r="B103" s="9" t="s">
        <v>92</v>
      </c>
      <c r="C103" s="9" t="s">
        <v>11</v>
      </c>
      <c r="D103" s="6" t="s">
        <v>26</v>
      </c>
      <c r="E103" s="7" t="s">
        <v>8</v>
      </c>
    </row>
    <row r="104" spans="1:5">
      <c r="A104" s="5">
        <v>103</v>
      </c>
      <c r="B104" s="9" t="s">
        <v>92</v>
      </c>
      <c r="C104" s="9" t="s">
        <v>93</v>
      </c>
      <c r="D104" s="6" t="s">
        <v>26</v>
      </c>
      <c r="E104" s="7" t="s">
        <v>8</v>
      </c>
    </row>
    <row r="105" spans="1:5">
      <c r="A105" s="5">
        <v>104</v>
      </c>
      <c r="B105" s="9" t="s">
        <v>92</v>
      </c>
      <c r="C105" s="9" t="s">
        <v>9</v>
      </c>
      <c r="D105" s="6" t="s">
        <v>26</v>
      </c>
      <c r="E105" s="7" t="s">
        <v>8</v>
      </c>
    </row>
    <row r="106" spans="1:5">
      <c r="A106" s="5">
        <v>105</v>
      </c>
      <c r="B106" s="6" t="s">
        <v>94</v>
      </c>
      <c r="C106" s="6" t="s">
        <v>40</v>
      </c>
      <c r="D106" s="6" t="s">
        <v>7</v>
      </c>
      <c r="E106" s="7" t="s">
        <v>41</v>
      </c>
    </row>
    <row r="107" spans="1:5">
      <c r="A107" s="5">
        <v>106</v>
      </c>
      <c r="B107" s="6" t="s">
        <v>94</v>
      </c>
      <c r="C107" s="6" t="s">
        <v>95</v>
      </c>
      <c r="D107" s="6" t="s">
        <v>7</v>
      </c>
      <c r="E107" s="7" t="s">
        <v>41</v>
      </c>
    </row>
    <row r="108" spans="1:5">
      <c r="A108" s="5">
        <v>107</v>
      </c>
      <c r="B108" s="6" t="s">
        <v>94</v>
      </c>
      <c r="C108" s="6" t="s">
        <v>30</v>
      </c>
      <c r="D108" s="6" t="s">
        <v>7</v>
      </c>
      <c r="E108" s="7" t="s">
        <v>41</v>
      </c>
    </row>
    <row r="109" spans="1:5">
      <c r="A109" s="5">
        <v>108</v>
      </c>
      <c r="B109" s="6" t="s">
        <v>94</v>
      </c>
      <c r="C109" s="6" t="s">
        <v>29</v>
      </c>
      <c r="D109" s="6" t="s">
        <v>7</v>
      </c>
      <c r="E109" s="7" t="s">
        <v>41</v>
      </c>
    </row>
    <row r="110" spans="1:5">
      <c r="A110" s="5">
        <v>109</v>
      </c>
      <c r="B110" s="9" t="s">
        <v>96</v>
      </c>
      <c r="C110" s="9" t="s">
        <v>60</v>
      </c>
      <c r="D110" s="6" t="s">
        <v>26</v>
      </c>
      <c r="E110" s="7" t="s">
        <v>8</v>
      </c>
    </row>
    <row r="111" spans="1:5">
      <c r="A111" s="5">
        <v>110</v>
      </c>
      <c r="B111" s="9" t="s">
        <v>96</v>
      </c>
      <c r="C111" s="9" t="s">
        <v>29</v>
      </c>
      <c r="D111" s="6" t="s">
        <v>26</v>
      </c>
      <c r="E111" s="7" t="s">
        <v>8</v>
      </c>
    </row>
    <row r="112" spans="1:5">
      <c r="A112" s="5">
        <v>111</v>
      </c>
      <c r="B112" s="9" t="s">
        <v>96</v>
      </c>
      <c r="C112" s="9" t="s">
        <v>97</v>
      </c>
      <c r="D112" s="6" t="s">
        <v>26</v>
      </c>
      <c r="E112" s="7" t="s">
        <v>8</v>
      </c>
    </row>
    <row r="113" spans="1:5">
      <c r="A113" s="5">
        <v>112</v>
      </c>
      <c r="B113" s="10" t="s">
        <v>98</v>
      </c>
      <c r="C113" s="10" t="s">
        <v>99</v>
      </c>
      <c r="D113" s="6" t="s">
        <v>26</v>
      </c>
      <c r="E113" s="7" t="s">
        <v>49</v>
      </c>
    </row>
    <row r="114" spans="1:5">
      <c r="A114" s="5">
        <v>113</v>
      </c>
      <c r="B114" s="10" t="s">
        <v>98</v>
      </c>
      <c r="C114" s="10" t="s">
        <v>29</v>
      </c>
      <c r="D114" s="6" t="s">
        <v>26</v>
      </c>
      <c r="E114" s="7" t="s">
        <v>49</v>
      </c>
    </row>
    <row r="115" spans="1:5">
      <c r="A115" s="5">
        <v>114</v>
      </c>
      <c r="B115" s="10" t="s">
        <v>98</v>
      </c>
      <c r="C115" s="10" t="s">
        <v>38</v>
      </c>
      <c r="D115" s="6" t="s">
        <v>26</v>
      </c>
      <c r="E115" s="7" t="s">
        <v>49</v>
      </c>
    </row>
    <row r="116" spans="1:5">
      <c r="A116" s="5">
        <v>115</v>
      </c>
      <c r="B116" s="6" t="s">
        <v>100</v>
      </c>
      <c r="C116" s="6" t="s">
        <v>101</v>
      </c>
      <c r="D116" s="6" t="s">
        <v>7</v>
      </c>
      <c r="E116" s="7" t="s">
        <v>8</v>
      </c>
    </row>
    <row r="117" spans="1:5">
      <c r="A117" s="5">
        <v>116</v>
      </c>
      <c r="B117" s="6" t="s">
        <v>100</v>
      </c>
      <c r="C117" s="6" t="s">
        <v>102</v>
      </c>
      <c r="D117" s="6" t="s">
        <v>7</v>
      </c>
      <c r="E117" s="7" t="s">
        <v>8</v>
      </c>
    </row>
    <row r="118" spans="1:5">
      <c r="A118" s="5">
        <v>117</v>
      </c>
      <c r="B118" s="6" t="s">
        <v>100</v>
      </c>
      <c r="C118" s="6" t="s">
        <v>42</v>
      </c>
      <c r="D118" s="6" t="s">
        <v>7</v>
      </c>
      <c r="E118" s="7" t="s">
        <v>8</v>
      </c>
    </row>
    <row r="119" spans="1:5">
      <c r="A119" s="5">
        <v>118</v>
      </c>
      <c r="B119" s="6" t="s">
        <v>100</v>
      </c>
      <c r="C119" s="6" t="s">
        <v>103</v>
      </c>
      <c r="D119" s="6" t="s">
        <v>7</v>
      </c>
      <c r="E119" s="7" t="s">
        <v>8</v>
      </c>
    </row>
    <row r="120" spans="1:5">
      <c r="A120" s="5">
        <v>119</v>
      </c>
      <c r="B120" s="6" t="s">
        <v>100</v>
      </c>
      <c r="C120" s="6" t="s">
        <v>78</v>
      </c>
      <c r="D120" s="6" t="s">
        <v>7</v>
      </c>
      <c r="E120" s="7" t="s">
        <v>8</v>
      </c>
    </row>
    <row r="121" spans="1:5">
      <c r="A121" s="5">
        <v>120</v>
      </c>
      <c r="B121" s="6" t="s">
        <v>104</v>
      </c>
      <c r="C121" s="6" t="s">
        <v>105</v>
      </c>
      <c r="D121" s="6" t="s">
        <v>18</v>
      </c>
      <c r="E121" s="7" t="s">
        <v>8</v>
      </c>
    </row>
    <row r="122" spans="1:5">
      <c r="A122" s="5">
        <v>121</v>
      </c>
      <c r="B122" s="6" t="s">
        <v>104</v>
      </c>
      <c r="C122" s="6" t="s">
        <v>106</v>
      </c>
      <c r="D122" s="6" t="s">
        <v>18</v>
      </c>
      <c r="E122" s="7" t="s">
        <v>8</v>
      </c>
    </row>
    <row r="123" spans="1:5">
      <c r="A123" s="5">
        <v>122</v>
      </c>
      <c r="B123" s="6" t="s">
        <v>104</v>
      </c>
      <c r="C123" s="6" t="s">
        <v>107</v>
      </c>
      <c r="D123" s="6" t="s">
        <v>18</v>
      </c>
      <c r="E123" s="7" t="s">
        <v>8</v>
      </c>
    </row>
    <row r="124" spans="1:5">
      <c r="A124" s="5">
        <v>123</v>
      </c>
      <c r="B124" s="6" t="s">
        <v>104</v>
      </c>
      <c r="C124" s="6" t="s">
        <v>24</v>
      </c>
      <c r="D124" s="6" t="s">
        <v>18</v>
      </c>
      <c r="E124" s="7" t="s">
        <v>8</v>
      </c>
    </row>
    <row r="125" spans="1:5">
      <c r="A125" s="5">
        <v>124</v>
      </c>
      <c r="B125" s="6" t="s">
        <v>108</v>
      </c>
      <c r="C125" s="6" t="s">
        <v>109</v>
      </c>
      <c r="D125" s="6" t="s">
        <v>18</v>
      </c>
      <c r="E125" s="7" t="s">
        <v>8</v>
      </c>
    </row>
    <row r="126" spans="1:5">
      <c r="A126" s="5">
        <v>125</v>
      </c>
      <c r="B126" s="6" t="s">
        <v>108</v>
      </c>
      <c r="C126" s="6" t="s">
        <v>110</v>
      </c>
      <c r="D126" s="6" t="s">
        <v>18</v>
      </c>
      <c r="E126" s="7" t="s">
        <v>8</v>
      </c>
    </row>
    <row r="127" spans="1:5">
      <c r="A127" s="5">
        <v>126</v>
      </c>
      <c r="B127" s="6" t="s">
        <v>108</v>
      </c>
      <c r="C127" s="6" t="s">
        <v>111</v>
      </c>
      <c r="D127" s="6" t="s">
        <v>18</v>
      </c>
      <c r="E127" s="7" t="s">
        <v>8</v>
      </c>
    </row>
    <row r="128" spans="1:5">
      <c r="A128" s="5">
        <v>127</v>
      </c>
      <c r="B128" s="6" t="s">
        <v>108</v>
      </c>
      <c r="C128" s="6" t="s">
        <v>24</v>
      </c>
      <c r="D128" s="6" t="s">
        <v>18</v>
      </c>
      <c r="E128" s="7" t="s">
        <v>8</v>
      </c>
    </row>
    <row r="129" spans="1:5">
      <c r="A129" s="5">
        <v>128</v>
      </c>
      <c r="B129" s="6" t="s">
        <v>112</v>
      </c>
      <c r="C129" s="6" t="s">
        <v>113</v>
      </c>
      <c r="D129" s="6" t="s">
        <v>18</v>
      </c>
      <c r="E129" s="7" t="s">
        <v>8</v>
      </c>
    </row>
    <row r="130" spans="1:5">
      <c r="A130" s="5">
        <v>129</v>
      </c>
      <c r="B130" s="6" t="s">
        <v>112</v>
      </c>
      <c r="C130" s="6" t="s">
        <v>114</v>
      </c>
      <c r="D130" s="6" t="s">
        <v>18</v>
      </c>
      <c r="E130" s="7" t="s">
        <v>8</v>
      </c>
    </row>
    <row r="131" spans="1:5">
      <c r="A131" s="5">
        <v>130</v>
      </c>
      <c r="B131" s="6" t="s">
        <v>112</v>
      </c>
      <c r="C131" s="6" t="s">
        <v>115</v>
      </c>
      <c r="D131" s="6" t="s">
        <v>18</v>
      </c>
      <c r="E131" s="7" t="s">
        <v>8</v>
      </c>
    </row>
    <row r="132" spans="1:5">
      <c r="A132" s="5">
        <v>131</v>
      </c>
      <c r="B132" s="6" t="s">
        <v>112</v>
      </c>
      <c r="C132" s="6" t="s">
        <v>24</v>
      </c>
      <c r="D132" s="6" t="s">
        <v>18</v>
      </c>
      <c r="E132" s="7" t="s">
        <v>8</v>
      </c>
    </row>
    <row r="133" spans="1:5">
      <c r="A133" s="5">
        <v>132</v>
      </c>
      <c r="B133" s="6" t="s">
        <v>116</v>
      </c>
      <c r="C133" s="6" t="s">
        <v>117</v>
      </c>
      <c r="D133" s="6" t="s">
        <v>18</v>
      </c>
      <c r="E133" s="7" t="s">
        <v>8</v>
      </c>
    </row>
    <row r="134" spans="1:5">
      <c r="A134" s="5">
        <v>133</v>
      </c>
      <c r="B134" s="6" t="s">
        <v>116</v>
      </c>
      <c r="C134" s="6" t="s">
        <v>114</v>
      </c>
      <c r="D134" s="6" t="s">
        <v>18</v>
      </c>
      <c r="E134" s="7" t="s">
        <v>8</v>
      </c>
    </row>
    <row r="135" spans="1:5">
      <c r="A135" s="5">
        <v>134</v>
      </c>
      <c r="B135" s="6" t="s">
        <v>116</v>
      </c>
      <c r="C135" s="6" t="s">
        <v>115</v>
      </c>
      <c r="D135" s="6" t="s">
        <v>18</v>
      </c>
      <c r="E135" s="7" t="s">
        <v>8</v>
      </c>
    </row>
    <row r="136" spans="1:5">
      <c r="A136" s="5">
        <v>135</v>
      </c>
      <c r="B136" s="6" t="s">
        <v>116</v>
      </c>
      <c r="C136" s="6" t="s">
        <v>118</v>
      </c>
      <c r="D136" s="6" t="s">
        <v>18</v>
      </c>
      <c r="E136" s="7" t="s">
        <v>8</v>
      </c>
    </row>
    <row r="137" spans="1:5">
      <c r="A137" s="5">
        <v>136</v>
      </c>
      <c r="B137" s="6" t="s">
        <v>119</v>
      </c>
      <c r="C137" s="6" t="s">
        <v>120</v>
      </c>
      <c r="D137" s="6" t="s">
        <v>18</v>
      </c>
      <c r="E137" s="7" t="s">
        <v>8</v>
      </c>
    </row>
    <row r="138" spans="1:5">
      <c r="A138" s="5">
        <v>137</v>
      </c>
      <c r="B138" s="6" t="s">
        <v>119</v>
      </c>
      <c r="C138" s="6" t="s">
        <v>121</v>
      </c>
      <c r="D138" s="6" t="s">
        <v>18</v>
      </c>
      <c r="E138" s="7" t="s">
        <v>8</v>
      </c>
    </row>
    <row r="139" spans="1:5">
      <c r="A139" s="5">
        <v>138</v>
      </c>
      <c r="B139" s="6" t="s">
        <v>119</v>
      </c>
      <c r="C139" s="6" t="s">
        <v>122</v>
      </c>
      <c r="D139" s="6" t="s">
        <v>18</v>
      </c>
      <c r="E139" s="7" t="s">
        <v>8</v>
      </c>
    </row>
    <row r="140" spans="1:5">
      <c r="A140" s="5">
        <v>139</v>
      </c>
      <c r="B140" s="6" t="s">
        <v>123</v>
      </c>
      <c r="C140" s="6" t="s">
        <v>124</v>
      </c>
      <c r="D140" s="6" t="s">
        <v>7</v>
      </c>
      <c r="E140" s="7" t="s">
        <v>8</v>
      </c>
    </row>
    <row r="141" spans="1:5">
      <c r="A141" s="5">
        <v>140</v>
      </c>
      <c r="B141" s="6" t="s">
        <v>123</v>
      </c>
      <c r="C141" s="6" t="s">
        <v>125</v>
      </c>
      <c r="D141" s="6" t="s">
        <v>7</v>
      </c>
      <c r="E141" s="7" t="s">
        <v>8</v>
      </c>
    </row>
    <row r="142" spans="1:5">
      <c r="A142" s="5">
        <v>141</v>
      </c>
      <c r="B142" s="6" t="s">
        <v>123</v>
      </c>
      <c r="C142" s="6" t="s">
        <v>126</v>
      </c>
      <c r="D142" s="6" t="s">
        <v>7</v>
      </c>
      <c r="E142" s="7" t="s">
        <v>8</v>
      </c>
    </row>
    <row r="143" spans="1:5">
      <c r="A143" s="5">
        <v>142</v>
      </c>
      <c r="B143" s="6" t="s">
        <v>123</v>
      </c>
      <c r="C143" s="6" t="s">
        <v>127</v>
      </c>
      <c r="D143" s="6" t="s">
        <v>7</v>
      </c>
      <c r="E143" s="7" t="s">
        <v>8</v>
      </c>
    </row>
    <row r="144" spans="1:5">
      <c r="A144" s="5">
        <v>143</v>
      </c>
      <c r="B144" s="8" t="s">
        <v>128</v>
      </c>
      <c r="C144" s="8" t="s">
        <v>60</v>
      </c>
      <c r="D144" s="6" t="s">
        <v>26</v>
      </c>
      <c r="E144" s="7" t="s">
        <v>129</v>
      </c>
    </row>
    <row r="145" spans="1:5">
      <c r="A145" s="5">
        <v>144</v>
      </c>
      <c r="B145" s="8" t="s">
        <v>128</v>
      </c>
      <c r="C145" s="8" t="s">
        <v>29</v>
      </c>
      <c r="D145" s="6" t="s">
        <v>26</v>
      </c>
      <c r="E145" s="7" t="s">
        <v>129</v>
      </c>
    </row>
    <row r="146" spans="1:5">
      <c r="A146" s="5">
        <v>145</v>
      </c>
      <c r="B146" s="8" t="s">
        <v>128</v>
      </c>
      <c r="C146" s="8" t="s">
        <v>130</v>
      </c>
      <c r="D146" s="6" t="s">
        <v>26</v>
      </c>
      <c r="E146" s="7" t="s">
        <v>129</v>
      </c>
    </row>
    <row r="147" spans="1:5">
      <c r="A147" s="5">
        <v>146</v>
      </c>
      <c r="B147" s="9" t="s">
        <v>131</v>
      </c>
      <c r="C147" s="9" t="s">
        <v>60</v>
      </c>
      <c r="D147" s="6" t="s">
        <v>26</v>
      </c>
      <c r="E147" s="7" t="s">
        <v>8</v>
      </c>
    </row>
    <row r="148" spans="1:5">
      <c r="A148" s="5">
        <v>147</v>
      </c>
      <c r="B148" s="9" t="s">
        <v>131</v>
      </c>
      <c r="C148" s="9" t="s">
        <v>29</v>
      </c>
      <c r="D148" s="6" t="s">
        <v>26</v>
      </c>
      <c r="E148" s="7" t="s">
        <v>8</v>
      </c>
    </row>
    <row r="149" spans="1:5">
      <c r="A149" s="5">
        <v>148</v>
      </c>
      <c r="B149" s="9" t="s">
        <v>131</v>
      </c>
      <c r="C149" s="9" t="s">
        <v>62</v>
      </c>
      <c r="D149" s="6" t="s">
        <v>26</v>
      </c>
      <c r="E149" s="7" t="s">
        <v>8</v>
      </c>
    </row>
    <row r="150" spans="1:5">
      <c r="A150" s="5">
        <v>149</v>
      </c>
      <c r="B150" s="9" t="s">
        <v>132</v>
      </c>
      <c r="C150" s="9" t="s">
        <v>60</v>
      </c>
      <c r="D150" s="6" t="s">
        <v>26</v>
      </c>
      <c r="E150" s="7" t="s">
        <v>8</v>
      </c>
    </row>
    <row r="151" spans="1:5">
      <c r="A151" s="5">
        <v>150</v>
      </c>
      <c r="B151" s="9" t="s">
        <v>132</v>
      </c>
      <c r="C151" s="9" t="s">
        <v>29</v>
      </c>
      <c r="D151" s="6" t="s">
        <v>26</v>
      </c>
      <c r="E151" s="7" t="s">
        <v>8</v>
      </c>
    </row>
    <row r="152" spans="1:5">
      <c r="A152" s="5">
        <v>151</v>
      </c>
      <c r="B152" s="9" t="s">
        <v>132</v>
      </c>
      <c r="C152" s="9" t="s">
        <v>133</v>
      </c>
      <c r="D152" s="6" t="s">
        <v>26</v>
      </c>
      <c r="E152" s="7" t="s">
        <v>8</v>
      </c>
    </row>
    <row r="153" spans="1:5">
      <c r="A153" s="5">
        <v>152</v>
      </c>
      <c r="B153" s="6" t="s">
        <v>134</v>
      </c>
      <c r="C153" s="6" t="s">
        <v>135</v>
      </c>
      <c r="D153" s="6" t="s">
        <v>18</v>
      </c>
      <c r="E153" s="7" t="s">
        <v>8</v>
      </c>
    </row>
    <row r="154" spans="1:5">
      <c r="A154" s="5">
        <v>153</v>
      </c>
      <c r="B154" s="6" t="s">
        <v>134</v>
      </c>
      <c r="C154" s="6" t="s">
        <v>136</v>
      </c>
      <c r="D154" s="6" t="s">
        <v>18</v>
      </c>
      <c r="E154" s="7" t="s">
        <v>8</v>
      </c>
    </row>
    <row r="155" spans="1:5">
      <c r="A155" s="5">
        <v>154</v>
      </c>
      <c r="B155" s="6" t="s">
        <v>134</v>
      </c>
      <c r="C155" s="6" t="s">
        <v>24</v>
      </c>
      <c r="D155" s="6" t="s">
        <v>18</v>
      </c>
      <c r="E155" s="7" t="s">
        <v>8</v>
      </c>
    </row>
    <row r="156" spans="1:5">
      <c r="A156" s="5">
        <v>155</v>
      </c>
      <c r="B156" s="6" t="s">
        <v>137</v>
      </c>
      <c r="C156" s="6" t="s">
        <v>138</v>
      </c>
      <c r="D156" s="6" t="s">
        <v>18</v>
      </c>
      <c r="E156" s="7" t="s">
        <v>8</v>
      </c>
    </row>
    <row r="157" spans="1:5">
      <c r="A157" s="5">
        <v>156</v>
      </c>
      <c r="B157" s="6" t="s">
        <v>137</v>
      </c>
      <c r="C157" s="6" t="s">
        <v>139</v>
      </c>
      <c r="D157" s="6" t="s">
        <v>18</v>
      </c>
      <c r="E157" s="7" t="s">
        <v>8</v>
      </c>
    </row>
    <row r="158" spans="1:5">
      <c r="A158" s="5">
        <v>157</v>
      </c>
      <c r="B158" s="6" t="s">
        <v>137</v>
      </c>
      <c r="C158" s="6" t="s">
        <v>140</v>
      </c>
      <c r="D158" s="6" t="s">
        <v>18</v>
      </c>
      <c r="E158" s="7" t="s">
        <v>8</v>
      </c>
    </row>
    <row r="159" spans="1:5">
      <c r="A159" s="5">
        <v>158</v>
      </c>
      <c r="B159" s="6" t="s">
        <v>137</v>
      </c>
      <c r="C159" s="6" t="s">
        <v>141</v>
      </c>
      <c r="D159" s="6" t="s">
        <v>18</v>
      </c>
      <c r="E159" s="7" t="s">
        <v>8</v>
      </c>
    </row>
    <row r="160" spans="1:5">
      <c r="A160" s="5">
        <v>159</v>
      </c>
      <c r="B160" s="6" t="s">
        <v>137</v>
      </c>
      <c r="C160" s="6" t="s">
        <v>142</v>
      </c>
      <c r="D160" s="6" t="s">
        <v>18</v>
      </c>
      <c r="E160" s="7" t="s">
        <v>8</v>
      </c>
    </row>
    <row r="161" spans="1:5">
      <c r="A161" s="5">
        <v>160</v>
      </c>
      <c r="B161" s="10" t="s">
        <v>143</v>
      </c>
      <c r="C161" s="10" t="s">
        <v>144</v>
      </c>
      <c r="D161" s="6" t="s">
        <v>18</v>
      </c>
      <c r="E161" s="7" t="s">
        <v>49</v>
      </c>
    </row>
    <row r="162" spans="1:5">
      <c r="A162" s="5">
        <v>161</v>
      </c>
      <c r="B162" s="10" t="s">
        <v>143</v>
      </c>
      <c r="C162" s="10" t="s">
        <v>145</v>
      </c>
      <c r="D162" s="6" t="s">
        <v>18</v>
      </c>
      <c r="E162" s="7" t="s">
        <v>49</v>
      </c>
    </row>
    <row r="163" spans="1:5">
      <c r="A163" s="5">
        <v>162</v>
      </c>
      <c r="B163" s="10" t="s">
        <v>143</v>
      </c>
      <c r="C163" s="10" t="s">
        <v>146</v>
      </c>
      <c r="D163" s="6" t="s">
        <v>18</v>
      </c>
      <c r="E163" s="7" t="s">
        <v>49</v>
      </c>
    </row>
    <row r="164" spans="1:5">
      <c r="A164" s="5">
        <v>163</v>
      </c>
      <c r="B164" s="10" t="s">
        <v>143</v>
      </c>
      <c r="C164" s="10" t="s">
        <v>24</v>
      </c>
      <c r="D164" s="6" t="s">
        <v>18</v>
      </c>
      <c r="E164" s="7" t="s">
        <v>49</v>
      </c>
    </row>
    <row r="165" spans="1:5">
      <c r="A165" s="5">
        <v>164</v>
      </c>
      <c r="B165" s="6" t="s">
        <v>147</v>
      </c>
      <c r="C165" s="6" t="s">
        <v>148</v>
      </c>
      <c r="D165" s="6" t="s">
        <v>7</v>
      </c>
      <c r="E165" s="7" t="s">
        <v>8</v>
      </c>
    </row>
    <row r="166" spans="1:5">
      <c r="A166" s="5">
        <v>165</v>
      </c>
      <c r="B166" s="6" t="s">
        <v>147</v>
      </c>
      <c r="C166" s="6" t="s">
        <v>118</v>
      </c>
      <c r="D166" s="6" t="s">
        <v>7</v>
      </c>
      <c r="E166" s="7" t="s">
        <v>8</v>
      </c>
    </row>
    <row r="167" spans="1:5">
      <c r="A167" s="5">
        <v>166</v>
      </c>
      <c r="B167" s="6" t="s">
        <v>147</v>
      </c>
      <c r="C167" s="6" t="s">
        <v>149</v>
      </c>
      <c r="D167" s="6" t="s">
        <v>7</v>
      </c>
      <c r="E167" s="7" t="s">
        <v>8</v>
      </c>
    </row>
    <row r="168" spans="1:5">
      <c r="A168" s="5">
        <v>167</v>
      </c>
      <c r="B168" s="6" t="s">
        <v>147</v>
      </c>
      <c r="C168" s="6" t="s">
        <v>150</v>
      </c>
      <c r="D168" s="6" t="s">
        <v>7</v>
      </c>
      <c r="E168" s="7" t="s">
        <v>8</v>
      </c>
    </row>
    <row r="169" spans="1:5">
      <c r="A169" s="5">
        <v>168</v>
      </c>
      <c r="B169" s="10" t="s">
        <v>151</v>
      </c>
      <c r="C169" s="10" t="s">
        <v>152</v>
      </c>
      <c r="D169" s="6" t="s">
        <v>7</v>
      </c>
      <c r="E169" s="7" t="s">
        <v>49</v>
      </c>
    </row>
    <row r="170" spans="1:5">
      <c r="A170" s="5">
        <v>169</v>
      </c>
      <c r="B170" s="10" t="s">
        <v>151</v>
      </c>
      <c r="C170" s="10" t="s">
        <v>153</v>
      </c>
      <c r="D170" s="6" t="s">
        <v>7</v>
      </c>
      <c r="E170" s="7" t="s">
        <v>49</v>
      </c>
    </row>
    <row r="171" spans="1:5">
      <c r="A171" s="5">
        <v>170</v>
      </c>
      <c r="B171" s="10" t="s">
        <v>151</v>
      </c>
      <c r="C171" s="10" t="s">
        <v>140</v>
      </c>
      <c r="D171" s="6" t="s">
        <v>7</v>
      </c>
      <c r="E171" s="7" t="s">
        <v>49</v>
      </c>
    </row>
    <row r="172" spans="1:5">
      <c r="A172" s="5">
        <v>171</v>
      </c>
      <c r="B172" s="10" t="s">
        <v>151</v>
      </c>
      <c r="C172" s="10" t="s">
        <v>139</v>
      </c>
      <c r="D172" s="6" t="s">
        <v>7</v>
      </c>
      <c r="E172" s="7" t="s">
        <v>49</v>
      </c>
    </row>
    <row r="173" spans="1:5">
      <c r="A173" s="5">
        <v>172</v>
      </c>
      <c r="B173" s="10" t="s">
        <v>151</v>
      </c>
      <c r="C173" s="10" t="s">
        <v>141</v>
      </c>
      <c r="D173" s="6" t="s">
        <v>7</v>
      </c>
      <c r="E173" s="7" t="s">
        <v>49</v>
      </c>
    </row>
    <row r="174" spans="1:5">
      <c r="A174" s="5">
        <v>173</v>
      </c>
      <c r="B174" s="10" t="s">
        <v>151</v>
      </c>
      <c r="C174" s="10" t="s">
        <v>154</v>
      </c>
      <c r="D174" s="6" t="s">
        <v>7</v>
      </c>
      <c r="E174" s="7" t="s">
        <v>49</v>
      </c>
    </row>
    <row r="175" spans="1:5">
      <c r="A175" s="5">
        <v>174</v>
      </c>
      <c r="B175" s="10" t="s">
        <v>151</v>
      </c>
      <c r="C175" s="10" t="s">
        <v>155</v>
      </c>
      <c r="D175" s="6" t="s">
        <v>7</v>
      </c>
      <c r="E175" s="7" t="s">
        <v>49</v>
      </c>
    </row>
    <row r="176" spans="1:5">
      <c r="A176" s="5">
        <v>175</v>
      </c>
      <c r="B176" s="10" t="s">
        <v>151</v>
      </c>
      <c r="C176" s="10" t="s">
        <v>142</v>
      </c>
      <c r="D176" s="6" t="s">
        <v>7</v>
      </c>
      <c r="E176" s="7" t="s">
        <v>49</v>
      </c>
    </row>
    <row r="177" spans="1:5">
      <c r="A177" s="5">
        <v>176</v>
      </c>
      <c r="B177" s="10" t="s">
        <v>151</v>
      </c>
      <c r="C177" s="10" t="s">
        <v>24</v>
      </c>
      <c r="D177" s="6" t="s">
        <v>7</v>
      </c>
      <c r="E177" s="7" t="s">
        <v>49</v>
      </c>
    </row>
    <row r="178" spans="1:5">
      <c r="A178" s="5">
        <v>177</v>
      </c>
      <c r="B178" s="10" t="s">
        <v>151</v>
      </c>
      <c r="C178" s="10" t="s">
        <v>156</v>
      </c>
      <c r="D178" s="6" t="s">
        <v>7</v>
      </c>
      <c r="E178" s="7" t="s">
        <v>49</v>
      </c>
    </row>
    <row r="179" spans="1:5">
      <c r="A179" s="5">
        <v>178</v>
      </c>
      <c r="B179" s="6" t="s">
        <v>157</v>
      </c>
      <c r="C179" s="6" t="s">
        <v>70</v>
      </c>
      <c r="D179" s="6" t="s">
        <v>7</v>
      </c>
      <c r="E179" s="7" t="s">
        <v>8</v>
      </c>
    </row>
    <row r="180" spans="1:5">
      <c r="A180" s="5">
        <v>179</v>
      </c>
      <c r="B180" s="6" t="s">
        <v>157</v>
      </c>
      <c r="C180" s="6" t="s">
        <v>55</v>
      </c>
      <c r="D180" s="6" t="s">
        <v>7</v>
      </c>
      <c r="E180" s="7" t="s">
        <v>8</v>
      </c>
    </row>
    <row r="181" spans="1:5">
      <c r="A181" s="5">
        <v>180</v>
      </c>
      <c r="B181" s="6" t="s">
        <v>157</v>
      </c>
      <c r="C181" s="6" t="s">
        <v>42</v>
      </c>
      <c r="D181" s="6" t="s">
        <v>7</v>
      </c>
      <c r="E181" s="7" t="s">
        <v>8</v>
      </c>
    </row>
    <row r="182" spans="1:5">
      <c r="A182" s="5">
        <v>181</v>
      </c>
      <c r="B182" s="6" t="s">
        <v>158</v>
      </c>
      <c r="C182" s="6" t="s">
        <v>159</v>
      </c>
      <c r="D182" s="6" t="s">
        <v>18</v>
      </c>
      <c r="E182" s="7" t="s">
        <v>8</v>
      </c>
    </row>
    <row r="183" spans="1:5">
      <c r="A183" s="5">
        <v>182</v>
      </c>
      <c r="B183" s="6" t="s">
        <v>158</v>
      </c>
      <c r="C183" s="6" t="s">
        <v>160</v>
      </c>
      <c r="D183" s="6" t="s">
        <v>18</v>
      </c>
      <c r="E183" s="7" t="s">
        <v>8</v>
      </c>
    </row>
    <row r="184" spans="1:5">
      <c r="A184" s="5">
        <v>183</v>
      </c>
      <c r="B184" s="6" t="s">
        <v>158</v>
      </c>
      <c r="C184" s="6" t="s">
        <v>161</v>
      </c>
      <c r="D184" s="6" t="s">
        <v>18</v>
      </c>
      <c r="E184" s="7" t="s">
        <v>8</v>
      </c>
    </row>
    <row r="185" spans="1:5">
      <c r="A185" s="5">
        <v>184</v>
      </c>
      <c r="B185" s="9" t="s">
        <v>162</v>
      </c>
      <c r="C185" s="9" t="s">
        <v>23</v>
      </c>
      <c r="D185" s="6" t="s">
        <v>26</v>
      </c>
      <c r="E185" s="7" t="s">
        <v>8</v>
      </c>
    </row>
    <row r="186" spans="1:5">
      <c r="A186" s="5">
        <v>185</v>
      </c>
      <c r="B186" s="9" t="s">
        <v>162</v>
      </c>
      <c r="C186" s="9" t="s">
        <v>6</v>
      </c>
      <c r="D186" s="6" t="s">
        <v>26</v>
      </c>
      <c r="E186" s="7" t="s">
        <v>8</v>
      </c>
    </row>
    <row r="187" spans="1:5">
      <c r="A187" s="5">
        <v>186</v>
      </c>
      <c r="B187" s="9" t="s">
        <v>162</v>
      </c>
      <c r="C187" s="9" t="s">
        <v>9</v>
      </c>
      <c r="D187" s="6" t="s">
        <v>26</v>
      </c>
      <c r="E187" s="7" t="s">
        <v>8</v>
      </c>
    </row>
    <row r="188" spans="1:5">
      <c r="A188" s="5">
        <v>187</v>
      </c>
      <c r="B188" s="9" t="s">
        <v>162</v>
      </c>
      <c r="C188" s="9" t="s">
        <v>17</v>
      </c>
      <c r="D188" s="6" t="s">
        <v>26</v>
      </c>
      <c r="E188" s="7" t="s">
        <v>8</v>
      </c>
    </row>
    <row r="189" spans="1:5">
      <c r="A189" s="5">
        <v>188</v>
      </c>
      <c r="B189" s="10" t="s">
        <v>163</v>
      </c>
      <c r="C189" s="10" t="s">
        <v>6</v>
      </c>
      <c r="D189" s="6" t="s">
        <v>26</v>
      </c>
      <c r="E189" s="7" t="s">
        <v>49</v>
      </c>
    </row>
    <row r="190" spans="1:5">
      <c r="A190" s="5">
        <v>189</v>
      </c>
      <c r="B190" s="10" t="s">
        <v>163</v>
      </c>
      <c r="C190" s="10" t="s">
        <v>17</v>
      </c>
      <c r="D190" s="6" t="s">
        <v>26</v>
      </c>
      <c r="E190" s="7" t="s">
        <v>49</v>
      </c>
    </row>
    <row r="191" spans="1:5">
      <c r="A191" s="5">
        <v>190</v>
      </c>
      <c r="B191" s="10" t="s">
        <v>163</v>
      </c>
      <c r="C191" s="10" t="s">
        <v>9</v>
      </c>
      <c r="D191" s="6" t="s">
        <v>26</v>
      </c>
      <c r="E191" s="7" t="s">
        <v>49</v>
      </c>
    </row>
    <row r="192" spans="1:5">
      <c r="A192" s="5">
        <v>191</v>
      </c>
      <c r="B192" s="6" t="s">
        <v>164</v>
      </c>
      <c r="C192" s="6" t="s">
        <v>165</v>
      </c>
      <c r="D192" s="6" t="s">
        <v>18</v>
      </c>
      <c r="E192" s="7" t="s">
        <v>8</v>
      </c>
    </row>
    <row r="193" spans="1:5">
      <c r="A193" s="5">
        <v>192</v>
      </c>
      <c r="B193" s="6" t="s">
        <v>164</v>
      </c>
      <c r="C193" s="6" t="s">
        <v>166</v>
      </c>
      <c r="D193" s="6" t="s">
        <v>18</v>
      </c>
      <c r="E193" s="7" t="s">
        <v>8</v>
      </c>
    </row>
    <row r="194" spans="1:5">
      <c r="A194" s="5">
        <v>193</v>
      </c>
      <c r="B194" s="6" t="s">
        <v>164</v>
      </c>
      <c r="C194" s="6" t="s">
        <v>24</v>
      </c>
      <c r="D194" s="6" t="s">
        <v>18</v>
      </c>
      <c r="E194" s="7" t="s">
        <v>8</v>
      </c>
    </row>
    <row r="195" spans="1:5">
      <c r="A195" s="5">
        <v>194</v>
      </c>
      <c r="B195" s="6" t="s">
        <v>167</v>
      </c>
      <c r="C195" s="6" t="s">
        <v>168</v>
      </c>
      <c r="D195" s="6" t="s">
        <v>18</v>
      </c>
      <c r="E195" s="7" t="s">
        <v>8</v>
      </c>
    </row>
    <row r="196" spans="1:5">
      <c r="A196" s="5">
        <v>195</v>
      </c>
      <c r="B196" s="6" t="s">
        <v>167</v>
      </c>
      <c r="C196" s="6" t="s">
        <v>125</v>
      </c>
      <c r="D196" s="6" t="s">
        <v>18</v>
      </c>
      <c r="E196" s="7" t="s">
        <v>8</v>
      </c>
    </row>
    <row r="197" spans="1:5">
      <c r="A197" s="5">
        <v>196</v>
      </c>
      <c r="B197" s="6" t="s">
        <v>167</v>
      </c>
      <c r="C197" s="6" t="s">
        <v>127</v>
      </c>
      <c r="D197" s="6" t="s">
        <v>18</v>
      </c>
      <c r="E197" s="7" t="s">
        <v>8</v>
      </c>
    </row>
    <row r="198" spans="1:5">
      <c r="A198" s="5">
        <v>197</v>
      </c>
      <c r="B198" s="6" t="s">
        <v>167</v>
      </c>
      <c r="C198" s="6" t="s">
        <v>24</v>
      </c>
      <c r="D198" s="6" t="s">
        <v>18</v>
      </c>
      <c r="E198" s="7" t="s">
        <v>8</v>
      </c>
    </row>
    <row r="199" spans="1:5">
      <c r="A199" s="5">
        <v>198</v>
      </c>
      <c r="B199" s="10" t="s">
        <v>169</v>
      </c>
      <c r="C199" s="10" t="s">
        <v>44</v>
      </c>
      <c r="D199" s="6" t="s">
        <v>26</v>
      </c>
      <c r="E199" s="7" t="s">
        <v>49</v>
      </c>
    </row>
    <row r="200" spans="1:5">
      <c r="A200" s="5">
        <v>199</v>
      </c>
      <c r="B200" s="10" t="s">
        <v>169</v>
      </c>
      <c r="C200" s="10" t="s">
        <v>45</v>
      </c>
      <c r="D200" s="6" t="s">
        <v>26</v>
      </c>
      <c r="E200" s="7" t="s">
        <v>49</v>
      </c>
    </row>
    <row r="201" spans="1:5">
      <c r="A201" s="5">
        <v>200</v>
      </c>
      <c r="B201" s="10" t="s">
        <v>169</v>
      </c>
      <c r="C201" s="10" t="s">
        <v>170</v>
      </c>
      <c r="D201" s="6" t="s">
        <v>26</v>
      </c>
      <c r="E201" s="7" t="s">
        <v>49</v>
      </c>
    </row>
    <row r="202" spans="1:5">
      <c r="A202" s="5">
        <v>201</v>
      </c>
      <c r="B202" s="6" t="s">
        <v>171</v>
      </c>
      <c r="C202" s="6" t="s">
        <v>172</v>
      </c>
      <c r="D202" s="6" t="s">
        <v>7</v>
      </c>
      <c r="E202" s="7" t="s">
        <v>8</v>
      </c>
    </row>
    <row r="203" spans="1:5">
      <c r="A203" s="5">
        <v>202</v>
      </c>
      <c r="B203" s="6" t="s">
        <v>171</v>
      </c>
      <c r="C203" s="6" t="s">
        <v>173</v>
      </c>
      <c r="D203" s="6" t="s">
        <v>7</v>
      </c>
      <c r="E203" s="7" t="s">
        <v>8</v>
      </c>
    </row>
    <row r="204" spans="1:5">
      <c r="A204" s="5">
        <v>203</v>
      </c>
      <c r="B204" s="6" t="s">
        <v>171</v>
      </c>
      <c r="C204" s="6" t="s">
        <v>174</v>
      </c>
      <c r="D204" s="6" t="s">
        <v>7</v>
      </c>
      <c r="E204" s="7" t="s">
        <v>8</v>
      </c>
    </row>
    <row r="205" spans="1:5">
      <c r="A205" s="5">
        <v>204</v>
      </c>
      <c r="B205" s="6" t="s">
        <v>171</v>
      </c>
      <c r="C205" s="6" t="s">
        <v>78</v>
      </c>
      <c r="D205" s="6" t="s">
        <v>7</v>
      </c>
      <c r="E205" s="7" t="s">
        <v>8</v>
      </c>
    </row>
    <row r="206" spans="1:5">
      <c r="A206" s="5">
        <v>205</v>
      </c>
      <c r="B206" s="6" t="s">
        <v>171</v>
      </c>
      <c r="C206" s="6" t="s">
        <v>159</v>
      </c>
      <c r="D206" s="6" t="s">
        <v>7</v>
      </c>
      <c r="E206" s="7" t="s">
        <v>8</v>
      </c>
    </row>
  </sheetData>
  <autoFilter ref="A1:E206" xr:uid="{9D8AEC34-0B0A-4273-A740-8E6926724B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5C9B-A302-421F-B340-54A03B956C2D}">
  <dimension ref="A1:E206"/>
  <sheetViews>
    <sheetView workbookViewId="0">
      <selection activeCell="E23" sqref="E23"/>
    </sheetView>
  </sheetViews>
  <sheetFormatPr defaultRowHeight="15"/>
  <cols>
    <col min="1" max="1" width="6" bestFit="1" customWidth="1"/>
    <col min="2" max="2" width="30.42578125" bestFit="1" customWidth="1"/>
    <col min="3" max="3" width="31.42578125" bestFit="1" customWidth="1"/>
    <col min="4" max="4" width="11.85546875" bestFit="1" customWidth="1"/>
    <col min="5" max="5" width="48.42578125" customWidth="1"/>
  </cols>
  <sheetData>
    <row r="1" spans="1:5" ht="15.75">
      <c r="A1" s="2" t="s">
        <v>0</v>
      </c>
      <c r="B1" s="3" t="s">
        <v>2</v>
      </c>
      <c r="C1" s="3" t="s">
        <v>1</v>
      </c>
      <c r="D1" s="3" t="s">
        <v>3</v>
      </c>
      <c r="E1" s="4" t="s">
        <v>4</v>
      </c>
    </row>
    <row r="2" spans="1:5">
      <c r="A2" s="5">
        <v>1</v>
      </c>
      <c r="B2" s="6" t="s">
        <v>6</v>
      </c>
      <c r="C2" s="6" t="s">
        <v>5</v>
      </c>
      <c r="D2" s="6" t="s">
        <v>7</v>
      </c>
      <c r="E2" s="7" t="s">
        <v>8</v>
      </c>
    </row>
    <row r="3" spans="1:5">
      <c r="A3" s="5">
        <v>2</v>
      </c>
      <c r="B3" s="6" t="s">
        <v>9</v>
      </c>
      <c r="C3" s="6" t="s">
        <v>5</v>
      </c>
      <c r="D3" s="6" t="s">
        <v>7</v>
      </c>
      <c r="E3" s="7" t="s">
        <v>8</v>
      </c>
    </row>
    <row r="4" spans="1:5">
      <c r="A4" s="5">
        <v>3</v>
      </c>
      <c r="B4" s="6" t="s">
        <v>10</v>
      </c>
      <c r="C4" s="6" t="s">
        <v>5</v>
      </c>
      <c r="D4" s="6" t="s">
        <v>7</v>
      </c>
      <c r="E4" s="7" t="s">
        <v>8</v>
      </c>
    </row>
    <row r="5" spans="1:5">
      <c r="A5" s="5">
        <v>4</v>
      </c>
      <c r="B5" s="6" t="s">
        <v>11</v>
      </c>
      <c r="C5" s="6" t="s">
        <v>5</v>
      </c>
      <c r="D5" s="6" t="s">
        <v>7</v>
      </c>
      <c r="E5" s="7" t="s">
        <v>8</v>
      </c>
    </row>
    <row r="6" spans="1:5">
      <c r="A6" s="5">
        <v>5</v>
      </c>
      <c r="B6" s="6" t="s">
        <v>12</v>
      </c>
      <c r="C6" s="6" t="s">
        <v>5</v>
      </c>
      <c r="D6" s="6" t="s">
        <v>7</v>
      </c>
      <c r="E6" s="7" t="s">
        <v>8</v>
      </c>
    </row>
    <row r="7" spans="1:5">
      <c r="A7" s="5">
        <v>6</v>
      </c>
      <c r="B7" s="6" t="s">
        <v>13</v>
      </c>
      <c r="C7" s="6" t="s">
        <v>5</v>
      </c>
      <c r="D7" s="6" t="s">
        <v>7</v>
      </c>
      <c r="E7" s="7" t="s">
        <v>8</v>
      </c>
    </row>
    <row r="8" spans="1:5">
      <c r="A8" s="5">
        <v>7</v>
      </c>
      <c r="B8" s="6" t="s">
        <v>14</v>
      </c>
      <c r="C8" s="6" t="s">
        <v>5</v>
      </c>
      <c r="D8" s="6" t="s">
        <v>7</v>
      </c>
      <c r="E8" s="7" t="s">
        <v>8</v>
      </c>
    </row>
    <row r="9" spans="1:5">
      <c r="A9" s="5">
        <v>8</v>
      </c>
      <c r="B9" s="6" t="s">
        <v>15</v>
      </c>
      <c r="C9" s="6" t="s">
        <v>5</v>
      </c>
      <c r="D9" s="6" t="s">
        <v>7</v>
      </c>
      <c r="E9" s="7" t="s">
        <v>8</v>
      </c>
    </row>
    <row r="10" spans="1:5">
      <c r="A10" s="5">
        <v>9</v>
      </c>
      <c r="B10" s="6" t="s">
        <v>17</v>
      </c>
      <c r="C10" s="6" t="s">
        <v>16</v>
      </c>
      <c r="D10" s="6" t="s">
        <v>18</v>
      </c>
      <c r="E10" s="7" t="s">
        <v>8</v>
      </c>
    </row>
    <row r="11" spans="1:5">
      <c r="A11" s="5">
        <v>10</v>
      </c>
      <c r="B11" s="6" t="s">
        <v>19</v>
      </c>
      <c r="C11" s="6" t="s">
        <v>16</v>
      </c>
      <c r="D11" s="6" t="s">
        <v>18</v>
      </c>
      <c r="E11" s="7" t="s">
        <v>8</v>
      </c>
    </row>
    <row r="12" spans="1:5">
      <c r="A12" s="5">
        <v>11</v>
      </c>
      <c r="B12" s="6" t="s">
        <v>20</v>
      </c>
      <c r="C12" s="6" t="s">
        <v>16</v>
      </c>
      <c r="D12" s="6" t="s">
        <v>18</v>
      </c>
      <c r="E12" s="7" t="s">
        <v>8</v>
      </c>
    </row>
    <row r="13" spans="1:5">
      <c r="A13" s="5">
        <v>12</v>
      </c>
      <c r="B13" s="6" t="s">
        <v>22</v>
      </c>
      <c r="C13" s="6" t="s">
        <v>21</v>
      </c>
      <c r="D13" s="6" t="s">
        <v>18</v>
      </c>
      <c r="E13" s="7" t="s">
        <v>8</v>
      </c>
    </row>
    <row r="14" spans="1:5">
      <c r="A14" s="5">
        <v>13</v>
      </c>
      <c r="B14" s="6" t="s">
        <v>23</v>
      </c>
      <c r="C14" s="6" t="s">
        <v>21</v>
      </c>
      <c r="D14" s="6" t="s">
        <v>18</v>
      </c>
      <c r="E14" s="7" t="s">
        <v>8</v>
      </c>
    </row>
    <row r="15" spans="1:5">
      <c r="A15" s="5">
        <v>14</v>
      </c>
      <c r="B15" s="6" t="s">
        <v>9</v>
      </c>
      <c r="C15" s="6" t="s">
        <v>21</v>
      </c>
      <c r="D15" s="6" t="s">
        <v>18</v>
      </c>
      <c r="E15" s="7" t="s">
        <v>8</v>
      </c>
    </row>
    <row r="16" spans="1:5">
      <c r="A16" s="5">
        <v>15</v>
      </c>
      <c r="B16" s="6" t="s">
        <v>24</v>
      </c>
      <c r="C16" s="6" t="s">
        <v>21</v>
      </c>
      <c r="D16" s="6" t="s">
        <v>18</v>
      </c>
      <c r="E16" s="7" t="s">
        <v>8</v>
      </c>
    </row>
    <row r="17" spans="1:5">
      <c r="A17" s="5">
        <v>16</v>
      </c>
      <c r="B17" s="8" t="s">
        <v>6</v>
      </c>
      <c r="C17" s="8" t="s">
        <v>25</v>
      </c>
      <c r="D17" s="6" t="s">
        <v>26</v>
      </c>
      <c r="E17" s="7" t="s">
        <v>27</v>
      </c>
    </row>
    <row r="18" spans="1:5">
      <c r="A18" s="5">
        <v>17</v>
      </c>
      <c r="B18" s="8" t="s">
        <v>9</v>
      </c>
      <c r="C18" s="8" t="s">
        <v>25</v>
      </c>
      <c r="D18" s="6" t="s">
        <v>26</v>
      </c>
      <c r="E18" s="7" t="s">
        <v>28</v>
      </c>
    </row>
    <row r="19" spans="1:5">
      <c r="A19" s="5">
        <v>18</v>
      </c>
      <c r="B19" s="9" t="s">
        <v>29</v>
      </c>
      <c r="C19" s="9" t="s">
        <v>25</v>
      </c>
      <c r="D19" s="6" t="s">
        <v>26</v>
      </c>
      <c r="E19" s="7" t="s">
        <v>8</v>
      </c>
    </row>
    <row r="20" spans="1:5">
      <c r="A20" s="5">
        <v>19</v>
      </c>
      <c r="B20" s="8" t="s">
        <v>30</v>
      </c>
      <c r="C20" s="8" t="s">
        <v>25</v>
      </c>
      <c r="D20" s="6" t="s">
        <v>26</v>
      </c>
      <c r="E20" s="7" t="s">
        <v>27</v>
      </c>
    </row>
    <row r="21" spans="1:5">
      <c r="A21" s="5">
        <v>20</v>
      </c>
      <c r="B21" s="8" t="s">
        <v>11</v>
      </c>
      <c r="C21" s="8" t="s">
        <v>25</v>
      </c>
      <c r="D21" s="6" t="s">
        <v>26</v>
      </c>
      <c r="E21" s="7" t="s">
        <v>28</v>
      </c>
    </row>
    <row r="22" spans="1:5">
      <c r="A22" s="5">
        <v>21</v>
      </c>
      <c r="B22" s="6" t="s">
        <v>32</v>
      </c>
      <c r="C22" s="6" t="s">
        <v>31</v>
      </c>
      <c r="D22" s="6" t="s">
        <v>18</v>
      </c>
      <c r="E22" s="7" t="s">
        <v>8</v>
      </c>
    </row>
    <row r="23" spans="1:5">
      <c r="A23" s="5">
        <v>22</v>
      </c>
      <c r="B23" s="6" t="s">
        <v>23</v>
      </c>
      <c r="C23" s="6" t="s">
        <v>31</v>
      </c>
      <c r="D23" s="6" t="s">
        <v>18</v>
      </c>
      <c r="E23" s="7" t="s">
        <v>8</v>
      </c>
    </row>
    <row r="24" spans="1:5">
      <c r="A24" s="5">
        <v>23</v>
      </c>
      <c r="B24" s="6" t="s">
        <v>9</v>
      </c>
      <c r="C24" s="6" t="s">
        <v>31</v>
      </c>
      <c r="D24" s="6" t="s">
        <v>18</v>
      </c>
      <c r="E24" s="7" t="s">
        <v>8</v>
      </c>
    </row>
    <row r="25" spans="1:5">
      <c r="A25" s="5">
        <v>24</v>
      </c>
      <c r="B25" s="6" t="s">
        <v>24</v>
      </c>
      <c r="C25" s="6" t="s">
        <v>31</v>
      </c>
      <c r="D25" s="6" t="s">
        <v>18</v>
      </c>
      <c r="E25" s="7" t="s">
        <v>8</v>
      </c>
    </row>
    <row r="26" spans="1:5">
      <c r="A26" s="5">
        <v>25</v>
      </c>
      <c r="B26" s="6" t="s">
        <v>34</v>
      </c>
      <c r="C26" s="6" t="s">
        <v>33</v>
      </c>
      <c r="D26" s="6" t="s">
        <v>7</v>
      </c>
      <c r="E26" s="7" t="s">
        <v>8</v>
      </c>
    </row>
    <row r="27" spans="1:5">
      <c r="A27" s="5">
        <v>26</v>
      </c>
      <c r="B27" s="6" t="s">
        <v>35</v>
      </c>
      <c r="C27" s="6" t="s">
        <v>33</v>
      </c>
      <c r="D27" s="6" t="s">
        <v>7</v>
      </c>
      <c r="E27" s="7" t="s">
        <v>8</v>
      </c>
    </row>
    <row r="28" spans="1:5">
      <c r="A28" s="5">
        <v>27</v>
      </c>
      <c r="B28" s="6" t="s">
        <v>36</v>
      </c>
      <c r="C28" s="6" t="s">
        <v>33</v>
      </c>
      <c r="D28" s="6" t="s">
        <v>7</v>
      </c>
      <c r="E28" s="7" t="s">
        <v>8</v>
      </c>
    </row>
    <row r="29" spans="1:5">
      <c r="A29" s="5">
        <v>28</v>
      </c>
      <c r="B29" s="6" t="s">
        <v>37</v>
      </c>
      <c r="C29" s="6" t="s">
        <v>33</v>
      </c>
      <c r="D29" s="6" t="s">
        <v>7</v>
      </c>
      <c r="E29" s="7" t="s">
        <v>8</v>
      </c>
    </row>
    <row r="30" spans="1:5">
      <c r="A30" s="5">
        <v>29</v>
      </c>
      <c r="B30" s="6" t="s">
        <v>38</v>
      </c>
      <c r="C30" s="6" t="s">
        <v>33</v>
      </c>
      <c r="D30" s="6" t="s">
        <v>7</v>
      </c>
      <c r="E30" s="7" t="s">
        <v>8</v>
      </c>
    </row>
    <row r="31" spans="1:5">
      <c r="A31" s="5">
        <v>30</v>
      </c>
      <c r="B31" s="6" t="s">
        <v>24</v>
      </c>
      <c r="C31" s="6" t="s">
        <v>33</v>
      </c>
      <c r="D31" s="6" t="s">
        <v>7</v>
      </c>
      <c r="E31" s="7" t="s">
        <v>8</v>
      </c>
    </row>
    <row r="32" spans="1:5">
      <c r="A32" s="5">
        <v>31</v>
      </c>
      <c r="B32" s="6" t="s">
        <v>40</v>
      </c>
      <c r="C32" s="6" t="s">
        <v>39</v>
      </c>
      <c r="D32" s="6" t="s">
        <v>26</v>
      </c>
      <c r="E32" s="7" t="s">
        <v>41</v>
      </c>
    </row>
    <row r="33" spans="1:5">
      <c r="A33" s="5">
        <v>32</v>
      </c>
      <c r="B33" s="6" t="s">
        <v>30</v>
      </c>
      <c r="C33" s="6" t="s">
        <v>39</v>
      </c>
      <c r="D33" s="6" t="s">
        <v>26</v>
      </c>
      <c r="E33" s="7" t="s">
        <v>41</v>
      </c>
    </row>
    <row r="34" spans="1:5">
      <c r="A34" s="5">
        <v>33</v>
      </c>
      <c r="B34" s="6" t="s">
        <v>42</v>
      </c>
      <c r="C34" s="6" t="s">
        <v>39</v>
      </c>
      <c r="D34" s="6" t="s">
        <v>26</v>
      </c>
      <c r="E34" s="7" t="s">
        <v>41</v>
      </c>
    </row>
    <row r="35" spans="1:5">
      <c r="A35" s="5">
        <v>34</v>
      </c>
      <c r="B35" s="6" t="s">
        <v>44</v>
      </c>
      <c r="C35" s="6" t="s">
        <v>43</v>
      </c>
      <c r="D35" s="6" t="s">
        <v>7</v>
      </c>
      <c r="E35" s="7" t="s">
        <v>41</v>
      </c>
    </row>
    <row r="36" spans="1:5">
      <c r="A36" s="5">
        <v>35</v>
      </c>
      <c r="B36" s="6" t="s">
        <v>45</v>
      </c>
      <c r="C36" s="6" t="s">
        <v>43</v>
      </c>
      <c r="D36" s="6" t="s">
        <v>7</v>
      </c>
      <c r="E36" s="7" t="s">
        <v>41</v>
      </c>
    </row>
    <row r="37" spans="1:5">
      <c r="A37" s="5">
        <v>36</v>
      </c>
      <c r="B37" s="6" t="s">
        <v>29</v>
      </c>
      <c r="C37" s="6" t="s">
        <v>43</v>
      </c>
      <c r="D37" s="6" t="s">
        <v>7</v>
      </c>
      <c r="E37" s="7" t="s">
        <v>41</v>
      </c>
    </row>
    <row r="38" spans="1:5">
      <c r="A38" s="5">
        <v>37</v>
      </c>
      <c r="B38" s="6" t="s">
        <v>46</v>
      </c>
      <c r="C38" s="6" t="s">
        <v>43</v>
      </c>
      <c r="D38" s="6" t="s">
        <v>7</v>
      </c>
      <c r="E38" s="7" t="s">
        <v>41</v>
      </c>
    </row>
    <row r="39" spans="1:5">
      <c r="A39" s="5">
        <v>38</v>
      </c>
      <c r="B39" s="10" t="s">
        <v>48</v>
      </c>
      <c r="C39" s="10" t="s">
        <v>47</v>
      </c>
      <c r="D39" s="6" t="s">
        <v>18</v>
      </c>
      <c r="E39" s="7" t="s">
        <v>49</v>
      </c>
    </row>
    <row r="40" spans="1:5">
      <c r="A40" s="5">
        <v>39</v>
      </c>
      <c r="B40" s="10" t="s">
        <v>45</v>
      </c>
      <c r="C40" s="10" t="s">
        <v>47</v>
      </c>
      <c r="D40" s="6" t="s">
        <v>18</v>
      </c>
      <c r="E40" s="7" t="s">
        <v>49</v>
      </c>
    </row>
    <row r="41" spans="1:5">
      <c r="A41" s="5">
        <v>40</v>
      </c>
      <c r="B41" s="10" t="s">
        <v>44</v>
      </c>
      <c r="C41" s="10" t="s">
        <v>50</v>
      </c>
      <c r="D41" s="6" t="s">
        <v>7</v>
      </c>
      <c r="E41" s="7" t="s">
        <v>49</v>
      </c>
    </row>
    <row r="42" spans="1:5">
      <c r="A42" s="5">
        <v>41</v>
      </c>
      <c r="B42" s="10" t="s">
        <v>45</v>
      </c>
      <c r="C42" s="10" t="s">
        <v>50</v>
      </c>
      <c r="D42" s="6" t="s">
        <v>7</v>
      </c>
      <c r="E42" s="7" t="s">
        <v>49</v>
      </c>
    </row>
    <row r="43" spans="1:5">
      <c r="A43" s="5">
        <v>42</v>
      </c>
      <c r="B43" s="10" t="s">
        <v>51</v>
      </c>
      <c r="C43" s="10" t="s">
        <v>50</v>
      </c>
      <c r="D43" s="6" t="s">
        <v>7</v>
      </c>
      <c r="E43" s="7" t="s">
        <v>49</v>
      </c>
    </row>
    <row r="44" spans="1:5">
      <c r="A44" s="5">
        <v>43</v>
      </c>
      <c r="B44" s="10" t="s">
        <v>53</v>
      </c>
      <c r="C44" s="10" t="s">
        <v>52</v>
      </c>
      <c r="D44" s="6" t="s">
        <v>26</v>
      </c>
      <c r="E44" s="7" t="s">
        <v>49</v>
      </c>
    </row>
    <row r="45" spans="1:5">
      <c r="A45" s="5">
        <v>44</v>
      </c>
      <c r="B45" s="10" t="s">
        <v>54</v>
      </c>
      <c r="C45" s="10" t="s">
        <v>52</v>
      </c>
      <c r="D45" s="6" t="s">
        <v>26</v>
      </c>
      <c r="E45" s="7" t="s">
        <v>49</v>
      </c>
    </row>
    <row r="46" spans="1:5">
      <c r="A46" s="5">
        <v>45</v>
      </c>
      <c r="B46" s="10" t="s">
        <v>55</v>
      </c>
      <c r="C46" s="10" t="s">
        <v>52</v>
      </c>
      <c r="D46" s="6" t="s">
        <v>26</v>
      </c>
      <c r="E46" s="7" t="s">
        <v>49</v>
      </c>
    </row>
    <row r="47" spans="1:5">
      <c r="A47" s="5">
        <v>46</v>
      </c>
      <c r="B47" s="9" t="s">
        <v>57</v>
      </c>
      <c r="C47" s="9" t="s">
        <v>56</v>
      </c>
      <c r="D47" s="6" t="s">
        <v>26</v>
      </c>
      <c r="E47" s="7" t="s">
        <v>8</v>
      </c>
    </row>
    <row r="48" spans="1:5">
      <c r="A48" s="5">
        <v>47</v>
      </c>
      <c r="B48" s="10" t="s">
        <v>37</v>
      </c>
      <c r="C48" s="10" t="s">
        <v>56</v>
      </c>
      <c r="D48" s="6" t="s">
        <v>26</v>
      </c>
      <c r="E48" s="7" t="s">
        <v>49</v>
      </c>
    </row>
    <row r="49" spans="1:5">
      <c r="A49" s="5">
        <v>48</v>
      </c>
      <c r="B49" s="9" t="s">
        <v>58</v>
      </c>
      <c r="C49" s="9" t="s">
        <v>56</v>
      </c>
      <c r="D49" s="6" t="s">
        <v>26</v>
      </c>
      <c r="E49" s="7" t="s">
        <v>8</v>
      </c>
    </row>
    <row r="50" spans="1:5">
      <c r="A50" s="5">
        <v>49</v>
      </c>
      <c r="B50" s="9" t="s">
        <v>11</v>
      </c>
      <c r="C50" s="9" t="s">
        <v>56</v>
      </c>
      <c r="D50" s="6" t="s">
        <v>26</v>
      </c>
      <c r="E50" s="7" t="s">
        <v>8</v>
      </c>
    </row>
    <row r="51" spans="1:5">
      <c r="A51" s="5">
        <v>50</v>
      </c>
      <c r="B51" s="9" t="s">
        <v>30</v>
      </c>
      <c r="C51" s="9" t="s">
        <v>56</v>
      </c>
      <c r="D51" s="6" t="s">
        <v>26</v>
      </c>
      <c r="E51" s="7" t="s">
        <v>8</v>
      </c>
    </row>
    <row r="52" spans="1:5">
      <c r="A52" s="5">
        <v>51</v>
      </c>
      <c r="B52" s="9" t="s">
        <v>29</v>
      </c>
      <c r="C52" s="9" t="s">
        <v>56</v>
      </c>
      <c r="D52" s="6" t="s">
        <v>26</v>
      </c>
      <c r="E52" s="7" t="s">
        <v>8</v>
      </c>
    </row>
    <row r="53" spans="1:5">
      <c r="A53" s="5">
        <v>52</v>
      </c>
      <c r="B53" s="8" t="s">
        <v>60</v>
      </c>
      <c r="C53" s="8" t="s">
        <v>59</v>
      </c>
      <c r="D53" s="6" t="s">
        <v>26</v>
      </c>
      <c r="E53" s="7" t="s">
        <v>61</v>
      </c>
    </row>
    <row r="54" spans="1:5">
      <c r="A54" s="5">
        <v>53</v>
      </c>
      <c r="B54" s="9" t="s">
        <v>29</v>
      </c>
      <c r="C54" s="9" t="s">
        <v>59</v>
      </c>
      <c r="D54" s="6" t="s">
        <v>26</v>
      </c>
      <c r="E54" s="7" t="s">
        <v>8</v>
      </c>
    </row>
    <row r="55" spans="1:5">
      <c r="A55" s="5">
        <v>54</v>
      </c>
      <c r="B55" s="8" t="s">
        <v>11</v>
      </c>
      <c r="C55" s="8" t="s">
        <v>59</v>
      </c>
      <c r="D55" s="6" t="s">
        <v>26</v>
      </c>
      <c r="E55" s="7" t="s">
        <v>61</v>
      </c>
    </row>
    <row r="56" spans="1:5">
      <c r="A56" s="5">
        <v>55</v>
      </c>
      <c r="B56" s="9" t="s">
        <v>30</v>
      </c>
      <c r="C56" s="9" t="s">
        <v>59</v>
      </c>
      <c r="D56" s="6" t="s">
        <v>26</v>
      </c>
      <c r="E56" s="7" t="s">
        <v>8</v>
      </c>
    </row>
    <row r="57" spans="1:5">
      <c r="A57" s="5">
        <v>56</v>
      </c>
      <c r="B57" s="9" t="s">
        <v>62</v>
      </c>
      <c r="C57" s="9" t="s">
        <v>59</v>
      </c>
      <c r="D57" s="6" t="s">
        <v>26</v>
      </c>
      <c r="E57" s="7" t="s">
        <v>8</v>
      </c>
    </row>
    <row r="58" spans="1:5">
      <c r="A58" s="5">
        <v>57</v>
      </c>
      <c r="B58" s="8" t="s">
        <v>63</v>
      </c>
      <c r="C58" s="8" t="s">
        <v>59</v>
      </c>
      <c r="D58" s="6" t="s">
        <v>26</v>
      </c>
      <c r="E58" s="7" t="s">
        <v>61</v>
      </c>
    </row>
    <row r="59" spans="1:5">
      <c r="A59" s="5">
        <v>58</v>
      </c>
      <c r="B59" s="9" t="s">
        <v>54</v>
      </c>
      <c r="C59" s="9" t="s">
        <v>64</v>
      </c>
      <c r="D59" s="6" t="s">
        <v>26</v>
      </c>
      <c r="E59" s="7" t="s">
        <v>8</v>
      </c>
    </row>
    <row r="60" spans="1:5">
      <c r="A60" s="5">
        <v>59</v>
      </c>
      <c r="B60" s="9" t="s">
        <v>11</v>
      </c>
      <c r="C60" s="9" t="s">
        <v>64</v>
      </c>
      <c r="D60" s="6" t="s">
        <v>26</v>
      </c>
      <c r="E60" s="7" t="s">
        <v>8</v>
      </c>
    </row>
    <row r="61" spans="1:5">
      <c r="A61" s="5">
        <v>60</v>
      </c>
      <c r="B61" s="9" t="s">
        <v>29</v>
      </c>
      <c r="C61" s="9" t="s">
        <v>64</v>
      </c>
      <c r="D61" s="6" t="s">
        <v>26</v>
      </c>
      <c r="E61" s="7" t="s">
        <v>8</v>
      </c>
    </row>
    <row r="62" spans="1:5">
      <c r="A62" s="5">
        <v>61</v>
      </c>
      <c r="B62" s="9" t="s">
        <v>55</v>
      </c>
      <c r="C62" s="9" t="s">
        <v>64</v>
      </c>
      <c r="D62" s="6" t="s">
        <v>26</v>
      </c>
      <c r="E62" s="7" t="s">
        <v>8</v>
      </c>
    </row>
    <row r="63" spans="1:5">
      <c r="A63" s="5">
        <v>62</v>
      </c>
      <c r="B63" s="9" t="s">
        <v>54</v>
      </c>
      <c r="C63" s="9" t="s">
        <v>65</v>
      </c>
      <c r="D63" s="6" t="s">
        <v>26</v>
      </c>
      <c r="E63" s="7" t="s">
        <v>8</v>
      </c>
    </row>
    <row r="64" spans="1:5">
      <c r="A64" s="5">
        <v>63</v>
      </c>
      <c r="B64" s="9" t="s">
        <v>11</v>
      </c>
      <c r="C64" s="9" t="s">
        <v>65</v>
      </c>
      <c r="D64" s="6" t="s">
        <v>26</v>
      </c>
      <c r="E64" s="7" t="s">
        <v>8</v>
      </c>
    </row>
    <row r="65" spans="1:5">
      <c r="A65" s="5">
        <v>64</v>
      </c>
      <c r="B65" s="9" t="s">
        <v>29</v>
      </c>
      <c r="C65" s="9" t="s">
        <v>65</v>
      </c>
      <c r="D65" s="6" t="s">
        <v>26</v>
      </c>
      <c r="E65" s="7" t="s">
        <v>8</v>
      </c>
    </row>
    <row r="66" spans="1:5">
      <c r="A66" s="5">
        <v>65</v>
      </c>
      <c r="B66" s="9" t="s">
        <v>55</v>
      </c>
      <c r="C66" s="9" t="s">
        <v>65</v>
      </c>
      <c r="D66" s="6" t="s">
        <v>26</v>
      </c>
      <c r="E66" s="7" t="s">
        <v>8</v>
      </c>
    </row>
    <row r="67" spans="1:5">
      <c r="A67" s="5">
        <v>66</v>
      </c>
      <c r="B67" s="6" t="s">
        <v>67</v>
      </c>
      <c r="C67" s="6" t="s">
        <v>66</v>
      </c>
      <c r="D67" s="6" t="s">
        <v>18</v>
      </c>
      <c r="E67" s="7" t="s">
        <v>8</v>
      </c>
    </row>
    <row r="68" spans="1:5">
      <c r="A68" s="5">
        <v>67</v>
      </c>
      <c r="B68" s="6" t="s">
        <v>36</v>
      </c>
      <c r="C68" s="6" t="s">
        <v>66</v>
      </c>
      <c r="D68" s="6" t="s">
        <v>18</v>
      </c>
      <c r="E68" s="7" t="s">
        <v>8</v>
      </c>
    </row>
    <row r="69" spans="1:5">
      <c r="A69" s="5">
        <v>68</v>
      </c>
      <c r="B69" s="6" t="s">
        <v>24</v>
      </c>
      <c r="C69" s="6" t="s">
        <v>66</v>
      </c>
      <c r="D69" s="6" t="s">
        <v>18</v>
      </c>
      <c r="E69" s="7" t="s">
        <v>8</v>
      </c>
    </row>
    <row r="70" spans="1:5">
      <c r="A70" s="5">
        <v>69</v>
      </c>
      <c r="B70" s="9" t="s">
        <v>69</v>
      </c>
      <c r="C70" s="9" t="s">
        <v>68</v>
      </c>
      <c r="D70" s="6" t="s">
        <v>26</v>
      </c>
      <c r="E70" s="7" t="s">
        <v>8</v>
      </c>
    </row>
    <row r="71" spans="1:5">
      <c r="A71" s="5">
        <v>70</v>
      </c>
      <c r="B71" s="9" t="s">
        <v>42</v>
      </c>
      <c r="C71" s="9" t="s">
        <v>68</v>
      </c>
      <c r="D71" s="6" t="s">
        <v>26</v>
      </c>
      <c r="E71" s="7" t="s">
        <v>8</v>
      </c>
    </row>
    <row r="72" spans="1:5">
      <c r="A72" s="5">
        <v>71</v>
      </c>
      <c r="B72" s="9" t="s">
        <v>29</v>
      </c>
      <c r="C72" s="9" t="s">
        <v>68</v>
      </c>
      <c r="D72" s="6" t="s">
        <v>26</v>
      </c>
      <c r="E72" s="7" t="s">
        <v>8</v>
      </c>
    </row>
    <row r="73" spans="1:5">
      <c r="A73" s="5">
        <v>72</v>
      </c>
      <c r="B73" s="9" t="s">
        <v>11</v>
      </c>
      <c r="C73" s="9" t="s">
        <v>68</v>
      </c>
      <c r="D73" s="6" t="s">
        <v>26</v>
      </c>
      <c r="E73" s="7" t="s">
        <v>8</v>
      </c>
    </row>
    <row r="74" spans="1:5">
      <c r="A74" s="5">
        <v>73</v>
      </c>
      <c r="B74" s="6" t="s">
        <v>70</v>
      </c>
      <c r="C74" s="6" t="s">
        <v>68</v>
      </c>
      <c r="D74" s="6" t="s">
        <v>26</v>
      </c>
      <c r="E74" s="7" t="s">
        <v>71</v>
      </c>
    </row>
    <row r="75" spans="1:5">
      <c r="A75" s="5">
        <v>74</v>
      </c>
      <c r="B75" s="6" t="s">
        <v>73</v>
      </c>
      <c r="C75" s="6" t="s">
        <v>72</v>
      </c>
      <c r="D75" s="6" t="s">
        <v>7</v>
      </c>
      <c r="E75" s="7" t="s">
        <v>8</v>
      </c>
    </row>
    <row r="76" spans="1:5">
      <c r="A76" s="5">
        <v>75</v>
      </c>
      <c r="B76" s="6" t="s">
        <v>17</v>
      </c>
      <c r="C76" s="6" t="s">
        <v>72</v>
      </c>
      <c r="D76" s="6" t="s">
        <v>7</v>
      </c>
      <c r="E76" s="7" t="s">
        <v>8</v>
      </c>
    </row>
    <row r="77" spans="1:5">
      <c r="A77" s="5">
        <v>76</v>
      </c>
      <c r="B77" s="6" t="s">
        <v>74</v>
      </c>
      <c r="C77" s="6" t="s">
        <v>72</v>
      </c>
      <c r="D77" s="6" t="s">
        <v>7</v>
      </c>
      <c r="E77" s="7" t="s">
        <v>8</v>
      </c>
    </row>
    <row r="78" spans="1:5">
      <c r="A78" s="5">
        <v>77</v>
      </c>
      <c r="B78" s="6" t="s">
        <v>75</v>
      </c>
      <c r="C78" s="6" t="s">
        <v>72</v>
      </c>
      <c r="D78" s="6" t="s">
        <v>7</v>
      </c>
      <c r="E78" s="7" t="s">
        <v>8</v>
      </c>
    </row>
    <row r="79" spans="1:5">
      <c r="A79" s="5">
        <v>78</v>
      </c>
      <c r="B79" s="6" t="s">
        <v>76</v>
      </c>
      <c r="C79" s="6" t="s">
        <v>72</v>
      </c>
      <c r="D79" s="6" t="s">
        <v>7</v>
      </c>
      <c r="E79" s="7" t="s">
        <v>8</v>
      </c>
    </row>
    <row r="80" spans="1:5">
      <c r="A80" s="5">
        <v>79</v>
      </c>
      <c r="B80" s="6" t="s">
        <v>77</v>
      </c>
      <c r="C80" s="6" t="s">
        <v>72</v>
      </c>
      <c r="D80" s="6" t="s">
        <v>7</v>
      </c>
      <c r="E80" s="7" t="s">
        <v>8</v>
      </c>
    </row>
    <row r="81" spans="1:5">
      <c r="A81" s="5">
        <v>80</v>
      </c>
      <c r="B81" s="6" t="s">
        <v>78</v>
      </c>
      <c r="C81" s="6" t="s">
        <v>72</v>
      </c>
      <c r="D81" s="6" t="s">
        <v>7</v>
      </c>
      <c r="E81" s="7" t="s">
        <v>8</v>
      </c>
    </row>
    <row r="82" spans="1:5">
      <c r="A82" s="5">
        <v>81</v>
      </c>
      <c r="B82" s="9" t="s">
        <v>80</v>
      </c>
      <c r="C82" s="9" t="s">
        <v>79</v>
      </c>
      <c r="D82" s="6" t="s">
        <v>26</v>
      </c>
      <c r="E82" s="7" t="s">
        <v>8</v>
      </c>
    </row>
    <row r="83" spans="1:5">
      <c r="A83" s="5">
        <v>82</v>
      </c>
      <c r="B83" s="9" t="s">
        <v>29</v>
      </c>
      <c r="C83" s="9" t="s">
        <v>79</v>
      </c>
      <c r="D83" s="6" t="s">
        <v>26</v>
      </c>
      <c r="E83" s="7" t="s">
        <v>8</v>
      </c>
    </row>
    <row r="84" spans="1:5">
      <c r="A84" s="5">
        <v>83</v>
      </c>
      <c r="B84" s="9" t="s">
        <v>11</v>
      </c>
      <c r="C84" s="9" t="s">
        <v>79</v>
      </c>
      <c r="D84" s="6" t="s">
        <v>26</v>
      </c>
      <c r="E84" s="7" t="s">
        <v>8</v>
      </c>
    </row>
    <row r="85" spans="1:5">
      <c r="A85" s="5">
        <v>84</v>
      </c>
      <c r="B85" s="9" t="s">
        <v>30</v>
      </c>
      <c r="C85" s="9" t="s">
        <v>79</v>
      </c>
      <c r="D85" s="6" t="s">
        <v>26</v>
      </c>
      <c r="E85" s="7" t="s">
        <v>8</v>
      </c>
    </row>
    <row r="86" spans="1:5">
      <c r="A86" s="5">
        <v>85</v>
      </c>
      <c r="B86" s="9" t="s">
        <v>17</v>
      </c>
      <c r="C86" s="9" t="s">
        <v>79</v>
      </c>
      <c r="D86" s="6" t="s">
        <v>26</v>
      </c>
      <c r="E86" s="7" t="s">
        <v>8</v>
      </c>
    </row>
    <row r="87" spans="1:5">
      <c r="A87" s="5">
        <v>86</v>
      </c>
      <c r="B87" s="10" t="s">
        <v>82</v>
      </c>
      <c r="C87" s="10" t="s">
        <v>81</v>
      </c>
      <c r="D87" s="6" t="s">
        <v>18</v>
      </c>
      <c r="E87" s="7" t="s">
        <v>49</v>
      </c>
    </row>
    <row r="88" spans="1:5">
      <c r="A88" s="5">
        <v>87</v>
      </c>
      <c r="B88" s="10" t="s">
        <v>83</v>
      </c>
      <c r="C88" s="10" t="s">
        <v>81</v>
      </c>
      <c r="D88" s="6" t="s">
        <v>18</v>
      </c>
      <c r="E88" s="7" t="s">
        <v>49</v>
      </c>
    </row>
    <row r="89" spans="1:5">
      <c r="A89" s="5">
        <v>88</v>
      </c>
      <c r="B89" s="10" t="s">
        <v>84</v>
      </c>
      <c r="C89" s="10" t="s">
        <v>81</v>
      </c>
      <c r="D89" s="6" t="s">
        <v>18</v>
      </c>
      <c r="E89" s="7" t="s">
        <v>49</v>
      </c>
    </row>
    <row r="90" spans="1:5">
      <c r="A90" s="5">
        <v>89</v>
      </c>
      <c r="B90" s="10" t="s">
        <v>86</v>
      </c>
      <c r="C90" s="10" t="s">
        <v>85</v>
      </c>
      <c r="D90" s="6" t="s">
        <v>26</v>
      </c>
      <c r="E90" s="7" t="s">
        <v>49</v>
      </c>
    </row>
    <row r="91" spans="1:5">
      <c r="A91" s="5">
        <v>90</v>
      </c>
      <c r="B91" s="10" t="s">
        <v>87</v>
      </c>
      <c r="C91" s="10" t="s">
        <v>85</v>
      </c>
      <c r="D91" s="6" t="s">
        <v>26</v>
      </c>
      <c r="E91" s="7" t="s">
        <v>49</v>
      </c>
    </row>
    <row r="92" spans="1:5">
      <c r="A92" s="5">
        <v>91</v>
      </c>
      <c r="B92" s="10" t="s">
        <v>29</v>
      </c>
      <c r="C92" s="10" t="s">
        <v>85</v>
      </c>
      <c r="D92" s="6" t="s">
        <v>26</v>
      </c>
      <c r="E92" s="7" t="s">
        <v>49</v>
      </c>
    </row>
    <row r="93" spans="1:5">
      <c r="A93" s="5">
        <v>92</v>
      </c>
      <c r="B93" s="10" t="s">
        <v>9</v>
      </c>
      <c r="C93" s="10" t="s">
        <v>85</v>
      </c>
      <c r="D93" s="6" t="s">
        <v>26</v>
      </c>
      <c r="E93" s="7" t="s">
        <v>49</v>
      </c>
    </row>
    <row r="94" spans="1:5">
      <c r="A94" s="5">
        <v>93</v>
      </c>
      <c r="B94" s="10" t="s">
        <v>29</v>
      </c>
      <c r="C94" s="10" t="s">
        <v>88</v>
      </c>
      <c r="D94" s="6" t="s">
        <v>26</v>
      </c>
      <c r="E94" s="7" t="s">
        <v>49</v>
      </c>
    </row>
    <row r="95" spans="1:5">
      <c r="A95" s="5">
        <v>94</v>
      </c>
      <c r="B95" s="10" t="s">
        <v>89</v>
      </c>
      <c r="C95" s="10" t="s">
        <v>88</v>
      </c>
      <c r="D95" s="6" t="s">
        <v>26</v>
      </c>
      <c r="E95" s="7" t="s">
        <v>49</v>
      </c>
    </row>
    <row r="96" spans="1:5">
      <c r="A96" s="5">
        <v>95</v>
      </c>
      <c r="B96" s="10" t="s">
        <v>90</v>
      </c>
      <c r="C96" s="10" t="s">
        <v>88</v>
      </c>
      <c r="D96" s="6" t="s">
        <v>26</v>
      </c>
      <c r="E96" s="7" t="s">
        <v>49</v>
      </c>
    </row>
    <row r="97" spans="1:5">
      <c r="A97" s="5">
        <v>96</v>
      </c>
      <c r="B97" s="9" t="s">
        <v>40</v>
      </c>
      <c r="C97" s="9" t="s">
        <v>91</v>
      </c>
      <c r="D97" s="6" t="s">
        <v>26</v>
      </c>
      <c r="E97" s="7" t="s">
        <v>8</v>
      </c>
    </row>
    <row r="98" spans="1:5">
      <c r="A98" s="5">
        <v>97</v>
      </c>
      <c r="B98" s="9" t="s">
        <v>29</v>
      </c>
      <c r="C98" s="9" t="s">
        <v>91</v>
      </c>
      <c r="D98" s="6" t="s">
        <v>26</v>
      </c>
      <c r="E98" s="7" t="s">
        <v>8</v>
      </c>
    </row>
    <row r="99" spans="1:5">
      <c r="A99" s="5">
        <v>98</v>
      </c>
      <c r="B99" s="9" t="s">
        <v>30</v>
      </c>
      <c r="C99" s="9" t="s">
        <v>91</v>
      </c>
      <c r="D99" s="6" t="s">
        <v>26</v>
      </c>
      <c r="E99" s="7" t="s">
        <v>8</v>
      </c>
    </row>
    <row r="100" spans="1:5">
      <c r="A100" s="5">
        <v>99</v>
      </c>
      <c r="B100" s="9" t="s">
        <v>10</v>
      </c>
      <c r="C100" s="9" t="s">
        <v>92</v>
      </c>
      <c r="D100" s="6" t="s">
        <v>26</v>
      </c>
      <c r="E100" s="7" t="s">
        <v>8</v>
      </c>
    </row>
    <row r="101" spans="1:5">
      <c r="A101" s="5">
        <v>100</v>
      </c>
      <c r="B101" s="9" t="s">
        <v>29</v>
      </c>
      <c r="C101" s="9" t="s">
        <v>92</v>
      </c>
      <c r="D101" s="6" t="s">
        <v>26</v>
      </c>
      <c r="E101" s="7" t="s">
        <v>8</v>
      </c>
    </row>
    <row r="102" spans="1:5">
      <c r="A102" s="5">
        <v>101</v>
      </c>
      <c r="B102" s="9" t="s">
        <v>30</v>
      </c>
      <c r="C102" s="9" t="s">
        <v>92</v>
      </c>
      <c r="D102" s="6" t="s">
        <v>26</v>
      </c>
      <c r="E102" s="7" t="s">
        <v>8</v>
      </c>
    </row>
    <row r="103" spans="1:5">
      <c r="A103" s="5">
        <v>102</v>
      </c>
      <c r="B103" s="9" t="s">
        <v>11</v>
      </c>
      <c r="C103" s="9" t="s">
        <v>92</v>
      </c>
      <c r="D103" s="6" t="s">
        <v>26</v>
      </c>
      <c r="E103" s="7" t="s">
        <v>8</v>
      </c>
    </row>
    <row r="104" spans="1:5">
      <c r="A104" s="5">
        <v>103</v>
      </c>
      <c r="B104" s="9" t="s">
        <v>93</v>
      </c>
      <c r="C104" s="9" t="s">
        <v>92</v>
      </c>
      <c r="D104" s="6" t="s">
        <v>26</v>
      </c>
      <c r="E104" s="7" t="s">
        <v>8</v>
      </c>
    </row>
    <row r="105" spans="1:5">
      <c r="A105" s="5">
        <v>104</v>
      </c>
      <c r="B105" s="9" t="s">
        <v>9</v>
      </c>
      <c r="C105" s="9" t="s">
        <v>92</v>
      </c>
      <c r="D105" s="6" t="s">
        <v>26</v>
      </c>
      <c r="E105" s="7" t="s">
        <v>8</v>
      </c>
    </row>
    <row r="106" spans="1:5">
      <c r="A106" s="5">
        <v>105</v>
      </c>
      <c r="B106" s="6" t="s">
        <v>40</v>
      </c>
      <c r="C106" s="6" t="s">
        <v>94</v>
      </c>
      <c r="D106" s="6" t="s">
        <v>7</v>
      </c>
      <c r="E106" s="7" t="s">
        <v>41</v>
      </c>
    </row>
    <row r="107" spans="1:5">
      <c r="A107" s="5">
        <v>106</v>
      </c>
      <c r="B107" s="6" t="s">
        <v>95</v>
      </c>
      <c r="C107" s="6" t="s">
        <v>94</v>
      </c>
      <c r="D107" s="6" t="s">
        <v>7</v>
      </c>
      <c r="E107" s="7" t="s">
        <v>41</v>
      </c>
    </row>
    <row r="108" spans="1:5">
      <c r="A108" s="5">
        <v>107</v>
      </c>
      <c r="B108" s="6" t="s">
        <v>30</v>
      </c>
      <c r="C108" s="6" t="s">
        <v>94</v>
      </c>
      <c r="D108" s="6" t="s">
        <v>7</v>
      </c>
      <c r="E108" s="7" t="s">
        <v>41</v>
      </c>
    </row>
    <row r="109" spans="1:5">
      <c r="A109" s="5">
        <v>108</v>
      </c>
      <c r="B109" s="6" t="s">
        <v>29</v>
      </c>
      <c r="C109" s="6" t="s">
        <v>94</v>
      </c>
      <c r="D109" s="6" t="s">
        <v>7</v>
      </c>
      <c r="E109" s="7" t="s">
        <v>41</v>
      </c>
    </row>
    <row r="110" spans="1:5">
      <c r="A110" s="5">
        <v>109</v>
      </c>
      <c r="B110" s="9" t="s">
        <v>60</v>
      </c>
      <c r="C110" s="9" t="s">
        <v>96</v>
      </c>
      <c r="D110" s="6" t="s">
        <v>26</v>
      </c>
      <c r="E110" s="7" t="s">
        <v>8</v>
      </c>
    </row>
    <row r="111" spans="1:5">
      <c r="A111" s="5">
        <v>110</v>
      </c>
      <c r="B111" s="9" t="s">
        <v>29</v>
      </c>
      <c r="C111" s="9" t="s">
        <v>96</v>
      </c>
      <c r="D111" s="6" t="s">
        <v>26</v>
      </c>
      <c r="E111" s="7" t="s">
        <v>8</v>
      </c>
    </row>
    <row r="112" spans="1:5">
      <c r="A112" s="5">
        <v>111</v>
      </c>
      <c r="B112" s="9" t="s">
        <v>97</v>
      </c>
      <c r="C112" s="9" t="s">
        <v>96</v>
      </c>
      <c r="D112" s="6" t="s">
        <v>26</v>
      </c>
      <c r="E112" s="7" t="s">
        <v>8</v>
      </c>
    </row>
    <row r="113" spans="1:5">
      <c r="A113" s="5">
        <v>112</v>
      </c>
      <c r="B113" s="10" t="s">
        <v>99</v>
      </c>
      <c r="C113" s="10" t="s">
        <v>98</v>
      </c>
      <c r="D113" s="6" t="s">
        <v>26</v>
      </c>
      <c r="E113" s="7" t="s">
        <v>49</v>
      </c>
    </row>
    <row r="114" spans="1:5">
      <c r="A114" s="5">
        <v>113</v>
      </c>
      <c r="B114" s="10" t="s">
        <v>29</v>
      </c>
      <c r="C114" s="10" t="s">
        <v>98</v>
      </c>
      <c r="D114" s="6" t="s">
        <v>26</v>
      </c>
      <c r="E114" s="7" t="s">
        <v>49</v>
      </c>
    </row>
    <row r="115" spans="1:5">
      <c r="A115" s="5">
        <v>114</v>
      </c>
      <c r="B115" s="10" t="s">
        <v>38</v>
      </c>
      <c r="C115" s="10" t="s">
        <v>98</v>
      </c>
      <c r="D115" s="6" t="s">
        <v>26</v>
      </c>
      <c r="E115" s="7" t="s">
        <v>49</v>
      </c>
    </row>
    <row r="116" spans="1:5">
      <c r="A116" s="5">
        <v>115</v>
      </c>
      <c r="B116" s="6" t="s">
        <v>101</v>
      </c>
      <c r="C116" s="6" t="s">
        <v>100</v>
      </c>
      <c r="D116" s="6" t="s">
        <v>7</v>
      </c>
      <c r="E116" s="7" t="s">
        <v>8</v>
      </c>
    </row>
    <row r="117" spans="1:5">
      <c r="A117" s="5">
        <v>116</v>
      </c>
      <c r="B117" s="6" t="s">
        <v>102</v>
      </c>
      <c r="C117" s="6" t="s">
        <v>100</v>
      </c>
      <c r="D117" s="6" t="s">
        <v>7</v>
      </c>
      <c r="E117" s="7" t="s">
        <v>8</v>
      </c>
    </row>
    <row r="118" spans="1:5">
      <c r="A118" s="5">
        <v>117</v>
      </c>
      <c r="B118" s="6" t="s">
        <v>42</v>
      </c>
      <c r="C118" s="6" t="s">
        <v>100</v>
      </c>
      <c r="D118" s="6" t="s">
        <v>7</v>
      </c>
      <c r="E118" s="7" t="s">
        <v>8</v>
      </c>
    </row>
    <row r="119" spans="1:5">
      <c r="A119" s="5">
        <v>118</v>
      </c>
      <c r="B119" s="6" t="s">
        <v>103</v>
      </c>
      <c r="C119" s="6" t="s">
        <v>100</v>
      </c>
      <c r="D119" s="6" t="s">
        <v>7</v>
      </c>
      <c r="E119" s="7" t="s">
        <v>8</v>
      </c>
    </row>
    <row r="120" spans="1:5">
      <c r="A120" s="5">
        <v>119</v>
      </c>
      <c r="B120" s="6" t="s">
        <v>78</v>
      </c>
      <c r="C120" s="6" t="s">
        <v>100</v>
      </c>
      <c r="D120" s="6" t="s">
        <v>7</v>
      </c>
      <c r="E120" s="7" t="s">
        <v>8</v>
      </c>
    </row>
    <row r="121" spans="1:5">
      <c r="A121" s="5">
        <v>120</v>
      </c>
      <c r="B121" s="6" t="s">
        <v>105</v>
      </c>
      <c r="C121" s="6" t="s">
        <v>104</v>
      </c>
      <c r="D121" s="6" t="s">
        <v>18</v>
      </c>
      <c r="E121" s="7" t="s">
        <v>8</v>
      </c>
    </row>
    <row r="122" spans="1:5">
      <c r="A122" s="5">
        <v>121</v>
      </c>
      <c r="B122" s="6" t="s">
        <v>106</v>
      </c>
      <c r="C122" s="6" t="s">
        <v>104</v>
      </c>
      <c r="D122" s="6" t="s">
        <v>18</v>
      </c>
      <c r="E122" s="7" t="s">
        <v>8</v>
      </c>
    </row>
    <row r="123" spans="1:5">
      <c r="A123" s="5">
        <v>122</v>
      </c>
      <c r="B123" s="6" t="s">
        <v>107</v>
      </c>
      <c r="C123" s="6" t="s">
        <v>104</v>
      </c>
      <c r="D123" s="6" t="s">
        <v>18</v>
      </c>
      <c r="E123" s="7" t="s">
        <v>8</v>
      </c>
    </row>
    <row r="124" spans="1:5">
      <c r="A124" s="5">
        <v>123</v>
      </c>
      <c r="B124" s="6" t="s">
        <v>24</v>
      </c>
      <c r="C124" s="6" t="s">
        <v>104</v>
      </c>
      <c r="D124" s="6" t="s">
        <v>18</v>
      </c>
      <c r="E124" s="7" t="s">
        <v>8</v>
      </c>
    </row>
    <row r="125" spans="1:5">
      <c r="A125" s="5">
        <v>124</v>
      </c>
      <c r="B125" s="6" t="s">
        <v>109</v>
      </c>
      <c r="C125" s="6" t="s">
        <v>108</v>
      </c>
      <c r="D125" s="6" t="s">
        <v>18</v>
      </c>
      <c r="E125" s="7" t="s">
        <v>8</v>
      </c>
    </row>
    <row r="126" spans="1:5">
      <c r="A126" s="5">
        <v>125</v>
      </c>
      <c r="B126" s="6" t="s">
        <v>110</v>
      </c>
      <c r="C126" s="6" t="s">
        <v>108</v>
      </c>
      <c r="D126" s="6" t="s">
        <v>18</v>
      </c>
      <c r="E126" s="7" t="s">
        <v>8</v>
      </c>
    </row>
    <row r="127" spans="1:5">
      <c r="A127" s="5">
        <v>126</v>
      </c>
      <c r="B127" s="6" t="s">
        <v>111</v>
      </c>
      <c r="C127" s="6" t="s">
        <v>108</v>
      </c>
      <c r="D127" s="6" t="s">
        <v>18</v>
      </c>
      <c r="E127" s="7" t="s">
        <v>8</v>
      </c>
    </row>
    <row r="128" spans="1:5">
      <c r="A128" s="5">
        <v>127</v>
      </c>
      <c r="B128" s="6" t="s">
        <v>24</v>
      </c>
      <c r="C128" s="6" t="s">
        <v>108</v>
      </c>
      <c r="D128" s="6" t="s">
        <v>18</v>
      </c>
      <c r="E128" s="7" t="s">
        <v>8</v>
      </c>
    </row>
    <row r="129" spans="1:5">
      <c r="A129" s="5">
        <v>128</v>
      </c>
      <c r="B129" s="6" t="s">
        <v>113</v>
      </c>
      <c r="C129" s="6" t="s">
        <v>112</v>
      </c>
      <c r="D129" s="6" t="s">
        <v>18</v>
      </c>
      <c r="E129" s="7" t="s">
        <v>8</v>
      </c>
    </row>
    <row r="130" spans="1:5">
      <c r="A130" s="5">
        <v>129</v>
      </c>
      <c r="B130" s="6" t="s">
        <v>114</v>
      </c>
      <c r="C130" s="6" t="s">
        <v>112</v>
      </c>
      <c r="D130" s="6" t="s">
        <v>18</v>
      </c>
      <c r="E130" s="7" t="s">
        <v>8</v>
      </c>
    </row>
    <row r="131" spans="1:5">
      <c r="A131" s="5">
        <v>130</v>
      </c>
      <c r="B131" s="6" t="s">
        <v>115</v>
      </c>
      <c r="C131" s="6" t="s">
        <v>112</v>
      </c>
      <c r="D131" s="6" t="s">
        <v>18</v>
      </c>
      <c r="E131" s="7" t="s">
        <v>8</v>
      </c>
    </row>
    <row r="132" spans="1:5">
      <c r="A132" s="5">
        <v>131</v>
      </c>
      <c r="B132" s="6" t="s">
        <v>24</v>
      </c>
      <c r="C132" s="6" t="s">
        <v>112</v>
      </c>
      <c r="D132" s="6" t="s">
        <v>18</v>
      </c>
      <c r="E132" s="7" t="s">
        <v>8</v>
      </c>
    </row>
    <row r="133" spans="1:5">
      <c r="A133" s="5">
        <v>132</v>
      </c>
      <c r="B133" s="6" t="s">
        <v>117</v>
      </c>
      <c r="C133" s="6" t="s">
        <v>116</v>
      </c>
      <c r="D133" s="6" t="s">
        <v>18</v>
      </c>
      <c r="E133" s="7" t="s">
        <v>8</v>
      </c>
    </row>
    <row r="134" spans="1:5">
      <c r="A134" s="5">
        <v>133</v>
      </c>
      <c r="B134" s="6" t="s">
        <v>114</v>
      </c>
      <c r="C134" s="6" t="s">
        <v>116</v>
      </c>
      <c r="D134" s="6" t="s">
        <v>18</v>
      </c>
      <c r="E134" s="7" t="s">
        <v>8</v>
      </c>
    </row>
    <row r="135" spans="1:5">
      <c r="A135" s="5">
        <v>134</v>
      </c>
      <c r="B135" s="6" t="s">
        <v>115</v>
      </c>
      <c r="C135" s="6" t="s">
        <v>116</v>
      </c>
      <c r="D135" s="6" t="s">
        <v>18</v>
      </c>
      <c r="E135" s="7" t="s">
        <v>8</v>
      </c>
    </row>
    <row r="136" spans="1:5">
      <c r="A136" s="5">
        <v>135</v>
      </c>
      <c r="B136" s="6" t="s">
        <v>118</v>
      </c>
      <c r="C136" s="6" t="s">
        <v>116</v>
      </c>
      <c r="D136" s="6" t="s">
        <v>18</v>
      </c>
      <c r="E136" s="7" t="s">
        <v>8</v>
      </c>
    </row>
    <row r="137" spans="1:5">
      <c r="A137" s="5">
        <v>136</v>
      </c>
      <c r="B137" s="6" t="s">
        <v>120</v>
      </c>
      <c r="C137" s="6" t="s">
        <v>119</v>
      </c>
      <c r="D137" s="6" t="s">
        <v>18</v>
      </c>
      <c r="E137" s="7" t="s">
        <v>8</v>
      </c>
    </row>
    <row r="138" spans="1:5">
      <c r="A138" s="5">
        <v>137</v>
      </c>
      <c r="B138" s="6" t="s">
        <v>121</v>
      </c>
      <c r="C138" s="6" t="s">
        <v>119</v>
      </c>
      <c r="D138" s="6" t="s">
        <v>18</v>
      </c>
      <c r="E138" s="7" t="s">
        <v>8</v>
      </c>
    </row>
    <row r="139" spans="1:5">
      <c r="A139" s="5">
        <v>138</v>
      </c>
      <c r="B139" s="6" t="s">
        <v>122</v>
      </c>
      <c r="C139" s="6" t="s">
        <v>119</v>
      </c>
      <c r="D139" s="6" t="s">
        <v>18</v>
      </c>
      <c r="E139" s="7" t="s">
        <v>8</v>
      </c>
    </row>
    <row r="140" spans="1:5">
      <c r="A140" s="5">
        <v>139</v>
      </c>
      <c r="B140" s="6" t="s">
        <v>124</v>
      </c>
      <c r="C140" s="6" t="s">
        <v>123</v>
      </c>
      <c r="D140" s="6" t="s">
        <v>7</v>
      </c>
      <c r="E140" s="7" t="s">
        <v>8</v>
      </c>
    </row>
    <row r="141" spans="1:5">
      <c r="A141" s="5">
        <v>140</v>
      </c>
      <c r="B141" s="6" t="s">
        <v>125</v>
      </c>
      <c r="C141" s="6" t="s">
        <v>123</v>
      </c>
      <c r="D141" s="6" t="s">
        <v>7</v>
      </c>
      <c r="E141" s="7" t="s">
        <v>8</v>
      </c>
    </row>
    <row r="142" spans="1:5">
      <c r="A142" s="5">
        <v>141</v>
      </c>
      <c r="B142" s="6" t="s">
        <v>126</v>
      </c>
      <c r="C142" s="6" t="s">
        <v>123</v>
      </c>
      <c r="D142" s="6" t="s">
        <v>7</v>
      </c>
      <c r="E142" s="7" t="s">
        <v>8</v>
      </c>
    </row>
    <row r="143" spans="1:5">
      <c r="A143" s="5">
        <v>142</v>
      </c>
      <c r="B143" s="6" t="s">
        <v>127</v>
      </c>
      <c r="C143" s="6" t="s">
        <v>123</v>
      </c>
      <c r="D143" s="6" t="s">
        <v>7</v>
      </c>
      <c r="E143" s="7" t="s">
        <v>8</v>
      </c>
    </row>
    <row r="144" spans="1:5">
      <c r="A144" s="5">
        <v>143</v>
      </c>
      <c r="B144" s="8" t="s">
        <v>60</v>
      </c>
      <c r="C144" s="8" t="s">
        <v>128</v>
      </c>
      <c r="D144" s="6" t="s">
        <v>26</v>
      </c>
      <c r="E144" s="7" t="s">
        <v>129</v>
      </c>
    </row>
    <row r="145" spans="1:5">
      <c r="A145" s="5">
        <v>144</v>
      </c>
      <c r="B145" s="8" t="s">
        <v>29</v>
      </c>
      <c r="C145" s="8" t="s">
        <v>128</v>
      </c>
      <c r="D145" s="6" t="s">
        <v>26</v>
      </c>
      <c r="E145" s="7" t="s">
        <v>129</v>
      </c>
    </row>
    <row r="146" spans="1:5">
      <c r="A146" s="5">
        <v>145</v>
      </c>
      <c r="B146" s="8" t="s">
        <v>130</v>
      </c>
      <c r="C146" s="8" t="s">
        <v>128</v>
      </c>
      <c r="D146" s="6" t="s">
        <v>26</v>
      </c>
      <c r="E146" s="7" t="s">
        <v>129</v>
      </c>
    </row>
    <row r="147" spans="1:5">
      <c r="A147" s="5">
        <v>146</v>
      </c>
      <c r="B147" s="9" t="s">
        <v>60</v>
      </c>
      <c r="C147" s="9" t="s">
        <v>131</v>
      </c>
      <c r="D147" s="6" t="s">
        <v>26</v>
      </c>
      <c r="E147" s="7" t="s">
        <v>8</v>
      </c>
    </row>
    <row r="148" spans="1:5">
      <c r="A148" s="5">
        <v>147</v>
      </c>
      <c r="B148" s="9" t="s">
        <v>29</v>
      </c>
      <c r="C148" s="9" t="s">
        <v>131</v>
      </c>
      <c r="D148" s="6" t="s">
        <v>26</v>
      </c>
      <c r="E148" s="7" t="s">
        <v>8</v>
      </c>
    </row>
    <row r="149" spans="1:5">
      <c r="A149" s="5">
        <v>148</v>
      </c>
      <c r="B149" s="9" t="s">
        <v>62</v>
      </c>
      <c r="C149" s="9" t="s">
        <v>131</v>
      </c>
      <c r="D149" s="6" t="s">
        <v>26</v>
      </c>
      <c r="E149" s="7" t="s">
        <v>8</v>
      </c>
    </row>
    <row r="150" spans="1:5">
      <c r="A150" s="5">
        <v>149</v>
      </c>
      <c r="B150" s="9" t="s">
        <v>60</v>
      </c>
      <c r="C150" s="9" t="s">
        <v>132</v>
      </c>
      <c r="D150" s="6" t="s">
        <v>26</v>
      </c>
      <c r="E150" s="7" t="s">
        <v>8</v>
      </c>
    </row>
    <row r="151" spans="1:5">
      <c r="A151" s="5">
        <v>150</v>
      </c>
      <c r="B151" s="9" t="s">
        <v>29</v>
      </c>
      <c r="C151" s="9" t="s">
        <v>132</v>
      </c>
      <c r="D151" s="6" t="s">
        <v>26</v>
      </c>
      <c r="E151" s="7" t="s">
        <v>8</v>
      </c>
    </row>
    <row r="152" spans="1:5">
      <c r="A152" s="5">
        <v>151</v>
      </c>
      <c r="B152" s="9" t="s">
        <v>133</v>
      </c>
      <c r="C152" s="9" t="s">
        <v>132</v>
      </c>
      <c r="D152" s="6" t="s">
        <v>26</v>
      </c>
      <c r="E152" s="7" t="s">
        <v>8</v>
      </c>
    </row>
    <row r="153" spans="1:5">
      <c r="A153" s="5">
        <v>152</v>
      </c>
      <c r="B153" s="6" t="s">
        <v>135</v>
      </c>
      <c r="C153" s="6" t="s">
        <v>134</v>
      </c>
      <c r="D153" s="6" t="s">
        <v>18</v>
      </c>
      <c r="E153" s="7" t="s">
        <v>8</v>
      </c>
    </row>
    <row r="154" spans="1:5">
      <c r="A154" s="5">
        <v>153</v>
      </c>
      <c r="B154" s="6" t="s">
        <v>136</v>
      </c>
      <c r="C154" s="6" t="s">
        <v>134</v>
      </c>
      <c r="D154" s="6" t="s">
        <v>18</v>
      </c>
      <c r="E154" s="7" t="s">
        <v>8</v>
      </c>
    </row>
    <row r="155" spans="1:5">
      <c r="A155" s="5">
        <v>154</v>
      </c>
      <c r="B155" s="6" t="s">
        <v>24</v>
      </c>
      <c r="C155" s="6" t="s">
        <v>134</v>
      </c>
      <c r="D155" s="6" t="s">
        <v>18</v>
      </c>
      <c r="E155" s="7" t="s">
        <v>8</v>
      </c>
    </row>
    <row r="156" spans="1:5">
      <c r="A156" s="5">
        <v>155</v>
      </c>
      <c r="B156" s="6" t="s">
        <v>138</v>
      </c>
      <c r="C156" s="6" t="s">
        <v>137</v>
      </c>
      <c r="D156" s="6" t="s">
        <v>18</v>
      </c>
      <c r="E156" s="7" t="s">
        <v>8</v>
      </c>
    </row>
    <row r="157" spans="1:5">
      <c r="A157" s="5">
        <v>156</v>
      </c>
      <c r="B157" s="6" t="s">
        <v>139</v>
      </c>
      <c r="C157" s="6" t="s">
        <v>137</v>
      </c>
      <c r="D157" s="6" t="s">
        <v>18</v>
      </c>
      <c r="E157" s="7" t="s">
        <v>8</v>
      </c>
    </row>
    <row r="158" spans="1:5">
      <c r="A158" s="5">
        <v>157</v>
      </c>
      <c r="B158" s="6" t="s">
        <v>140</v>
      </c>
      <c r="C158" s="6" t="s">
        <v>137</v>
      </c>
      <c r="D158" s="6" t="s">
        <v>18</v>
      </c>
      <c r="E158" s="7" t="s">
        <v>8</v>
      </c>
    </row>
    <row r="159" spans="1:5">
      <c r="A159" s="5">
        <v>158</v>
      </c>
      <c r="B159" s="6" t="s">
        <v>141</v>
      </c>
      <c r="C159" s="6" t="s">
        <v>137</v>
      </c>
      <c r="D159" s="6" t="s">
        <v>18</v>
      </c>
      <c r="E159" s="7" t="s">
        <v>8</v>
      </c>
    </row>
    <row r="160" spans="1:5">
      <c r="A160" s="5">
        <v>159</v>
      </c>
      <c r="B160" s="6" t="s">
        <v>142</v>
      </c>
      <c r="C160" s="6" t="s">
        <v>137</v>
      </c>
      <c r="D160" s="6" t="s">
        <v>18</v>
      </c>
      <c r="E160" s="7" t="s">
        <v>8</v>
      </c>
    </row>
    <row r="161" spans="1:5">
      <c r="A161" s="5">
        <v>160</v>
      </c>
      <c r="B161" s="10" t="s">
        <v>144</v>
      </c>
      <c r="C161" s="10" t="s">
        <v>143</v>
      </c>
      <c r="D161" s="6" t="s">
        <v>18</v>
      </c>
      <c r="E161" s="7" t="s">
        <v>49</v>
      </c>
    </row>
    <row r="162" spans="1:5">
      <c r="A162" s="5">
        <v>161</v>
      </c>
      <c r="B162" s="10" t="s">
        <v>145</v>
      </c>
      <c r="C162" s="10" t="s">
        <v>143</v>
      </c>
      <c r="D162" s="6" t="s">
        <v>18</v>
      </c>
      <c r="E162" s="7" t="s">
        <v>49</v>
      </c>
    </row>
    <row r="163" spans="1:5">
      <c r="A163" s="5">
        <v>162</v>
      </c>
      <c r="B163" s="10" t="s">
        <v>146</v>
      </c>
      <c r="C163" s="10" t="s">
        <v>143</v>
      </c>
      <c r="D163" s="6" t="s">
        <v>18</v>
      </c>
      <c r="E163" s="7" t="s">
        <v>49</v>
      </c>
    </row>
    <row r="164" spans="1:5">
      <c r="A164" s="5">
        <v>163</v>
      </c>
      <c r="B164" s="10" t="s">
        <v>24</v>
      </c>
      <c r="C164" s="10" t="s">
        <v>143</v>
      </c>
      <c r="D164" s="6" t="s">
        <v>18</v>
      </c>
      <c r="E164" s="7" t="s">
        <v>49</v>
      </c>
    </row>
    <row r="165" spans="1:5">
      <c r="A165" s="5">
        <v>164</v>
      </c>
      <c r="B165" s="6" t="s">
        <v>148</v>
      </c>
      <c r="C165" s="6" t="s">
        <v>147</v>
      </c>
      <c r="D165" s="6" t="s">
        <v>7</v>
      </c>
      <c r="E165" s="7" t="s">
        <v>8</v>
      </c>
    </row>
    <row r="166" spans="1:5">
      <c r="A166" s="5">
        <v>165</v>
      </c>
      <c r="B166" s="6" t="s">
        <v>118</v>
      </c>
      <c r="C166" s="6" t="s">
        <v>147</v>
      </c>
      <c r="D166" s="6" t="s">
        <v>7</v>
      </c>
      <c r="E166" s="7" t="s">
        <v>8</v>
      </c>
    </row>
    <row r="167" spans="1:5">
      <c r="A167" s="5">
        <v>166</v>
      </c>
      <c r="B167" s="6" t="s">
        <v>149</v>
      </c>
      <c r="C167" s="6" t="s">
        <v>147</v>
      </c>
      <c r="D167" s="6" t="s">
        <v>7</v>
      </c>
      <c r="E167" s="7" t="s">
        <v>8</v>
      </c>
    </row>
    <row r="168" spans="1:5">
      <c r="A168" s="5">
        <v>167</v>
      </c>
      <c r="B168" s="6" t="s">
        <v>150</v>
      </c>
      <c r="C168" s="6" t="s">
        <v>147</v>
      </c>
      <c r="D168" s="6" t="s">
        <v>7</v>
      </c>
      <c r="E168" s="7" t="s">
        <v>8</v>
      </c>
    </row>
    <row r="169" spans="1:5">
      <c r="A169" s="5">
        <v>168</v>
      </c>
      <c r="B169" s="10" t="s">
        <v>152</v>
      </c>
      <c r="C169" s="10" t="s">
        <v>151</v>
      </c>
      <c r="D169" s="6" t="s">
        <v>7</v>
      </c>
      <c r="E169" s="7" t="s">
        <v>49</v>
      </c>
    </row>
    <row r="170" spans="1:5">
      <c r="A170" s="5">
        <v>169</v>
      </c>
      <c r="B170" s="10" t="s">
        <v>153</v>
      </c>
      <c r="C170" s="10" t="s">
        <v>151</v>
      </c>
      <c r="D170" s="6" t="s">
        <v>7</v>
      </c>
      <c r="E170" s="7" t="s">
        <v>49</v>
      </c>
    </row>
    <row r="171" spans="1:5">
      <c r="A171" s="5">
        <v>170</v>
      </c>
      <c r="B171" s="10" t="s">
        <v>140</v>
      </c>
      <c r="C171" s="10" t="s">
        <v>151</v>
      </c>
      <c r="D171" s="6" t="s">
        <v>7</v>
      </c>
      <c r="E171" s="7" t="s">
        <v>49</v>
      </c>
    </row>
    <row r="172" spans="1:5">
      <c r="A172" s="5">
        <v>171</v>
      </c>
      <c r="B172" s="10" t="s">
        <v>139</v>
      </c>
      <c r="C172" s="10" t="s">
        <v>151</v>
      </c>
      <c r="D172" s="6" t="s">
        <v>7</v>
      </c>
      <c r="E172" s="7" t="s">
        <v>49</v>
      </c>
    </row>
    <row r="173" spans="1:5">
      <c r="A173" s="5">
        <v>172</v>
      </c>
      <c r="B173" s="10" t="s">
        <v>141</v>
      </c>
      <c r="C173" s="10" t="s">
        <v>151</v>
      </c>
      <c r="D173" s="6" t="s">
        <v>7</v>
      </c>
      <c r="E173" s="7" t="s">
        <v>49</v>
      </c>
    </row>
    <row r="174" spans="1:5">
      <c r="A174" s="5">
        <v>173</v>
      </c>
      <c r="B174" s="10" t="s">
        <v>154</v>
      </c>
      <c r="C174" s="10" t="s">
        <v>151</v>
      </c>
      <c r="D174" s="6" t="s">
        <v>7</v>
      </c>
      <c r="E174" s="7" t="s">
        <v>49</v>
      </c>
    </row>
    <row r="175" spans="1:5">
      <c r="A175" s="5">
        <v>174</v>
      </c>
      <c r="B175" s="10" t="s">
        <v>155</v>
      </c>
      <c r="C175" s="10" t="s">
        <v>151</v>
      </c>
      <c r="D175" s="6" t="s">
        <v>7</v>
      </c>
      <c r="E175" s="7" t="s">
        <v>49</v>
      </c>
    </row>
    <row r="176" spans="1:5">
      <c r="A176" s="5">
        <v>175</v>
      </c>
      <c r="B176" s="10" t="s">
        <v>142</v>
      </c>
      <c r="C176" s="10" t="s">
        <v>151</v>
      </c>
      <c r="D176" s="6" t="s">
        <v>7</v>
      </c>
      <c r="E176" s="7" t="s">
        <v>49</v>
      </c>
    </row>
    <row r="177" spans="1:5">
      <c r="A177" s="5">
        <v>176</v>
      </c>
      <c r="B177" s="10" t="s">
        <v>24</v>
      </c>
      <c r="C177" s="10" t="s">
        <v>151</v>
      </c>
      <c r="D177" s="6" t="s">
        <v>7</v>
      </c>
      <c r="E177" s="7" t="s">
        <v>49</v>
      </c>
    </row>
    <row r="178" spans="1:5">
      <c r="A178" s="5">
        <v>177</v>
      </c>
      <c r="B178" s="10" t="s">
        <v>156</v>
      </c>
      <c r="C178" s="10" t="s">
        <v>151</v>
      </c>
      <c r="D178" s="6" t="s">
        <v>7</v>
      </c>
      <c r="E178" s="7" t="s">
        <v>49</v>
      </c>
    </row>
    <row r="179" spans="1:5">
      <c r="A179" s="5">
        <v>178</v>
      </c>
      <c r="B179" s="6" t="s">
        <v>70</v>
      </c>
      <c r="C179" s="6" t="s">
        <v>157</v>
      </c>
      <c r="D179" s="6" t="s">
        <v>7</v>
      </c>
      <c r="E179" s="7" t="s">
        <v>8</v>
      </c>
    </row>
    <row r="180" spans="1:5">
      <c r="A180" s="5">
        <v>179</v>
      </c>
      <c r="B180" s="6" t="s">
        <v>55</v>
      </c>
      <c r="C180" s="6" t="s">
        <v>157</v>
      </c>
      <c r="D180" s="6" t="s">
        <v>7</v>
      </c>
      <c r="E180" s="7" t="s">
        <v>8</v>
      </c>
    </row>
    <row r="181" spans="1:5">
      <c r="A181" s="5">
        <v>180</v>
      </c>
      <c r="B181" s="6" t="s">
        <v>42</v>
      </c>
      <c r="C181" s="6" t="s">
        <v>157</v>
      </c>
      <c r="D181" s="6" t="s">
        <v>7</v>
      </c>
      <c r="E181" s="7" t="s">
        <v>8</v>
      </c>
    </row>
    <row r="182" spans="1:5">
      <c r="A182" s="5">
        <v>181</v>
      </c>
      <c r="B182" s="6" t="s">
        <v>159</v>
      </c>
      <c r="C182" s="6" t="s">
        <v>158</v>
      </c>
      <c r="D182" s="6" t="s">
        <v>18</v>
      </c>
      <c r="E182" s="7" t="s">
        <v>8</v>
      </c>
    </row>
    <row r="183" spans="1:5">
      <c r="A183" s="5">
        <v>182</v>
      </c>
      <c r="B183" s="6" t="s">
        <v>160</v>
      </c>
      <c r="C183" s="6" t="s">
        <v>158</v>
      </c>
      <c r="D183" s="6" t="s">
        <v>18</v>
      </c>
      <c r="E183" s="7" t="s">
        <v>8</v>
      </c>
    </row>
    <row r="184" spans="1:5">
      <c r="A184" s="5">
        <v>183</v>
      </c>
      <c r="B184" s="6" t="s">
        <v>161</v>
      </c>
      <c r="C184" s="6" t="s">
        <v>158</v>
      </c>
      <c r="D184" s="6" t="s">
        <v>18</v>
      </c>
      <c r="E184" s="7" t="s">
        <v>8</v>
      </c>
    </row>
    <row r="185" spans="1:5">
      <c r="A185" s="5">
        <v>184</v>
      </c>
      <c r="B185" s="9" t="s">
        <v>23</v>
      </c>
      <c r="C185" s="9" t="s">
        <v>162</v>
      </c>
      <c r="D185" s="6" t="s">
        <v>26</v>
      </c>
      <c r="E185" s="7" t="s">
        <v>8</v>
      </c>
    </row>
    <row r="186" spans="1:5">
      <c r="A186" s="5">
        <v>185</v>
      </c>
      <c r="B186" s="9" t="s">
        <v>6</v>
      </c>
      <c r="C186" s="9" t="s">
        <v>162</v>
      </c>
      <c r="D186" s="6" t="s">
        <v>26</v>
      </c>
      <c r="E186" s="7" t="s">
        <v>8</v>
      </c>
    </row>
    <row r="187" spans="1:5">
      <c r="A187" s="5">
        <v>186</v>
      </c>
      <c r="B187" s="9" t="s">
        <v>9</v>
      </c>
      <c r="C187" s="9" t="s">
        <v>162</v>
      </c>
      <c r="D187" s="6" t="s">
        <v>26</v>
      </c>
      <c r="E187" s="7" t="s">
        <v>8</v>
      </c>
    </row>
    <row r="188" spans="1:5">
      <c r="A188" s="5">
        <v>187</v>
      </c>
      <c r="B188" s="9" t="s">
        <v>17</v>
      </c>
      <c r="C188" s="9" t="s">
        <v>162</v>
      </c>
      <c r="D188" s="6" t="s">
        <v>26</v>
      </c>
      <c r="E188" s="7" t="s">
        <v>8</v>
      </c>
    </row>
    <row r="189" spans="1:5">
      <c r="A189" s="5">
        <v>188</v>
      </c>
      <c r="B189" s="10" t="s">
        <v>6</v>
      </c>
      <c r="C189" s="10" t="s">
        <v>163</v>
      </c>
      <c r="D189" s="6" t="s">
        <v>26</v>
      </c>
      <c r="E189" s="7" t="s">
        <v>49</v>
      </c>
    </row>
    <row r="190" spans="1:5">
      <c r="A190" s="5">
        <v>189</v>
      </c>
      <c r="B190" s="10" t="s">
        <v>17</v>
      </c>
      <c r="C190" s="10" t="s">
        <v>163</v>
      </c>
      <c r="D190" s="6" t="s">
        <v>26</v>
      </c>
      <c r="E190" s="7" t="s">
        <v>49</v>
      </c>
    </row>
    <row r="191" spans="1:5">
      <c r="A191" s="5">
        <v>190</v>
      </c>
      <c r="B191" s="10" t="s">
        <v>9</v>
      </c>
      <c r="C191" s="10" t="s">
        <v>163</v>
      </c>
      <c r="D191" s="6" t="s">
        <v>26</v>
      </c>
      <c r="E191" s="7" t="s">
        <v>49</v>
      </c>
    </row>
    <row r="192" spans="1:5">
      <c r="A192" s="5">
        <v>191</v>
      </c>
      <c r="B192" s="6" t="s">
        <v>165</v>
      </c>
      <c r="C192" s="6" t="s">
        <v>164</v>
      </c>
      <c r="D192" s="6" t="s">
        <v>18</v>
      </c>
      <c r="E192" s="7" t="s">
        <v>8</v>
      </c>
    </row>
    <row r="193" spans="1:5">
      <c r="A193" s="5">
        <v>192</v>
      </c>
      <c r="B193" s="6" t="s">
        <v>166</v>
      </c>
      <c r="C193" s="6" t="s">
        <v>164</v>
      </c>
      <c r="D193" s="6" t="s">
        <v>18</v>
      </c>
      <c r="E193" s="7" t="s">
        <v>8</v>
      </c>
    </row>
    <row r="194" spans="1:5">
      <c r="A194" s="5">
        <v>193</v>
      </c>
      <c r="B194" s="6" t="s">
        <v>24</v>
      </c>
      <c r="C194" s="6" t="s">
        <v>164</v>
      </c>
      <c r="D194" s="6" t="s">
        <v>18</v>
      </c>
      <c r="E194" s="7" t="s">
        <v>8</v>
      </c>
    </row>
    <row r="195" spans="1:5">
      <c r="A195" s="5">
        <v>194</v>
      </c>
      <c r="B195" s="6" t="s">
        <v>168</v>
      </c>
      <c r="C195" s="6" t="s">
        <v>167</v>
      </c>
      <c r="D195" s="6" t="s">
        <v>18</v>
      </c>
      <c r="E195" s="7" t="s">
        <v>8</v>
      </c>
    </row>
    <row r="196" spans="1:5">
      <c r="A196" s="5">
        <v>195</v>
      </c>
      <c r="B196" s="6" t="s">
        <v>125</v>
      </c>
      <c r="C196" s="6" t="s">
        <v>167</v>
      </c>
      <c r="D196" s="6" t="s">
        <v>18</v>
      </c>
      <c r="E196" s="7" t="s">
        <v>8</v>
      </c>
    </row>
    <row r="197" spans="1:5">
      <c r="A197" s="5">
        <v>196</v>
      </c>
      <c r="B197" s="6" t="s">
        <v>127</v>
      </c>
      <c r="C197" s="6" t="s">
        <v>167</v>
      </c>
      <c r="D197" s="6" t="s">
        <v>18</v>
      </c>
      <c r="E197" s="7" t="s">
        <v>8</v>
      </c>
    </row>
    <row r="198" spans="1:5">
      <c r="A198" s="5">
        <v>197</v>
      </c>
      <c r="B198" s="6" t="s">
        <v>24</v>
      </c>
      <c r="C198" s="6" t="s">
        <v>167</v>
      </c>
      <c r="D198" s="6" t="s">
        <v>18</v>
      </c>
      <c r="E198" s="7" t="s">
        <v>8</v>
      </c>
    </row>
    <row r="199" spans="1:5">
      <c r="A199" s="5">
        <v>198</v>
      </c>
      <c r="B199" s="10" t="s">
        <v>44</v>
      </c>
      <c r="C199" s="10" t="s">
        <v>169</v>
      </c>
      <c r="D199" s="6" t="s">
        <v>26</v>
      </c>
      <c r="E199" s="7" t="s">
        <v>49</v>
      </c>
    </row>
    <row r="200" spans="1:5">
      <c r="A200" s="5">
        <v>199</v>
      </c>
      <c r="B200" s="10" t="s">
        <v>45</v>
      </c>
      <c r="C200" s="10" t="s">
        <v>169</v>
      </c>
      <c r="D200" s="6" t="s">
        <v>26</v>
      </c>
      <c r="E200" s="7" t="s">
        <v>49</v>
      </c>
    </row>
    <row r="201" spans="1:5">
      <c r="A201" s="5">
        <v>200</v>
      </c>
      <c r="B201" s="10" t="s">
        <v>170</v>
      </c>
      <c r="C201" s="10" t="s">
        <v>169</v>
      </c>
      <c r="D201" s="6" t="s">
        <v>26</v>
      </c>
      <c r="E201" s="7" t="s">
        <v>49</v>
      </c>
    </row>
    <row r="202" spans="1:5">
      <c r="A202" s="5">
        <v>201</v>
      </c>
      <c r="B202" s="6" t="s">
        <v>172</v>
      </c>
      <c r="C202" s="6" t="s">
        <v>171</v>
      </c>
      <c r="D202" s="6" t="s">
        <v>7</v>
      </c>
      <c r="E202" s="7" t="s">
        <v>8</v>
      </c>
    </row>
    <row r="203" spans="1:5">
      <c r="A203" s="5">
        <v>202</v>
      </c>
      <c r="B203" s="6" t="s">
        <v>173</v>
      </c>
      <c r="C203" s="6" t="s">
        <v>171</v>
      </c>
      <c r="D203" s="6" t="s">
        <v>7</v>
      </c>
      <c r="E203" s="7" t="s">
        <v>8</v>
      </c>
    </row>
    <row r="204" spans="1:5">
      <c r="A204" s="5">
        <v>203</v>
      </c>
      <c r="B204" s="6" t="s">
        <v>174</v>
      </c>
      <c r="C204" s="6" t="s">
        <v>171</v>
      </c>
      <c r="D204" s="6" t="s">
        <v>7</v>
      </c>
      <c r="E204" s="7" t="s">
        <v>8</v>
      </c>
    </row>
    <row r="205" spans="1:5">
      <c r="A205" s="5">
        <v>204</v>
      </c>
      <c r="B205" s="6" t="s">
        <v>78</v>
      </c>
      <c r="C205" s="6" t="s">
        <v>171</v>
      </c>
      <c r="D205" s="6" t="s">
        <v>7</v>
      </c>
      <c r="E205" s="7" t="s">
        <v>8</v>
      </c>
    </row>
    <row r="206" spans="1:5">
      <c r="A206" s="5">
        <v>205</v>
      </c>
      <c r="B206" s="6" t="s">
        <v>159</v>
      </c>
      <c r="C206" s="6" t="s">
        <v>171</v>
      </c>
      <c r="D206" s="6" t="s">
        <v>7</v>
      </c>
      <c r="E206" s="7" t="s">
        <v>8</v>
      </c>
    </row>
  </sheetData>
  <autoFilter ref="A1:E206" xr:uid="{07935C9B-A302-421F-B340-54A03B956C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9D62-95C7-411B-AE6C-FFC5D90CC692}">
  <dimension ref="A1:G112"/>
  <sheetViews>
    <sheetView workbookViewId="0">
      <selection activeCell="F19" sqref="F19"/>
    </sheetView>
  </sheetViews>
  <sheetFormatPr defaultColWidth="17.5703125" defaultRowHeight="15"/>
  <cols>
    <col min="1" max="1" width="6.140625" bestFit="1" customWidth="1"/>
    <col min="2" max="2" width="37.85546875" bestFit="1" customWidth="1"/>
    <col min="3" max="3" width="12" bestFit="1" customWidth="1"/>
    <col min="4" max="4" width="21.140625" customWidth="1"/>
    <col min="5" max="5" width="34.5703125" bestFit="1" customWidth="1"/>
    <col min="6" max="6" width="32.5703125" bestFit="1" customWidth="1"/>
  </cols>
  <sheetData>
    <row r="1" spans="1:7" ht="15.75">
      <c r="A1" s="2" t="s">
        <v>0</v>
      </c>
      <c r="B1" s="3" t="s">
        <v>2</v>
      </c>
      <c r="C1" s="3" t="s">
        <v>175</v>
      </c>
      <c r="D1" s="4" t="s">
        <v>4</v>
      </c>
      <c r="E1" t="s">
        <v>176</v>
      </c>
      <c r="F1" t="s">
        <v>177</v>
      </c>
      <c r="G1" t="s">
        <v>3</v>
      </c>
    </row>
    <row r="2" spans="1:7">
      <c r="A2" s="14">
        <v>1</v>
      </c>
      <c r="B2" s="6" t="s">
        <v>178</v>
      </c>
      <c r="C2" s="6" t="s">
        <v>179</v>
      </c>
      <c r="D2" s="6" t="s">
        <v>8</v>
      </c>
      <c r="E2" t="s">
        <v>155</v>
      </c>
      <c r="F2" t="str">
        <f>VLOOKUP(E2,'MuleApps&lt;=&gt;MuleIntegrations'!B:C,2,FALSE)</f>
        <v>MUL-CONSENT</v>
      </c>
      <c r="G2" t="str">
        <f>VLOOKUP(E2,'MuleApps&lt;=&gt;MuleIntegrations'!B:D,3,FALSE)</f>
        <v>Mixed</v>
      </c>
    </row>
    <row r="3" spans="1:7">
      <c r="A3" s="14">
        <v>2</v>
      </c>
      <c r="B3" s="6" t="s">
        <v>180</v>
      </c>
      <c r="C3" s="6" t="s">
        <v>179</v>
      </c>
      <c r="D3" s="6" t="s">
        <v>8</v>
      </c>
      <c r="E3" t="s">
        <v>130</v>
      </c>
      <c r="F3" t="str">
        <f>VLOOKUP(E3,'MuleApps&lt;=&gt;MuleIntegrations'!B:C,2,FALSE)</f>
        <v>MUL-SUPPLIER-PO</v>
      </c>
      <c r="G3" t="str">
        <f>VLOOKUP(E3,'MuleApps&lt;=&gt;MuleIntegrations'!B:D,3,FALSE)</f>
        <v>File Transfer</v>
      </c>
    </row>
    <row r="4" spans="1:7">
      <c r="A4" s="14">
        <v>3</v>
      </c>
      <c r="B4" s="6" t="s">
        <v>181</v>
      </c>
      <c r="C4" s="6" t="s">
        <v>179</v>
      </c>
      <c r="D4" s="6" t="s">
        <v>8</v>
      </c>
      <c r="E4" t="s">
        <v>17</v>
      </c>
      <c r="F4" t="str">
        <f>VLOOKUP(E4,'MuleApps&lt;=&gt;MuleIntegrations'!B:C,2,FALSE)</f>
        <v>MUL-DIGITALASSET</v>
      </c>
      <c r="G4" t="str">
        <f>VLOOKUP(E4,'MuleApps&lt;=&gt;MuleIntegrations'!B:D,3,FALSE)</f>
        <v>API</v>
      </c>
    </row>
    <row r="5" spans="1:7">
      <c r="A5" s="14">
        <v>4</v>
      </c>
      <c r="B5" s="6" t="s">
        <v>182</v>
      </c>
      <c r="C5" s="6" t="s">
        <v>179</v>
      </c>
      <c r="D5" s="6" t="s">
        <v>8</v>
      </c>
      <c r="E5" t="s">
        <v>126</v>
      </c>
      <c r="F5" t="str">
        <f>VLOOKUP(E5,'MuleApps&lt;=&gt;MuleIntegrations'!B:C,2,FALSE)</f>
        <v>MUL-CUSTORDERVALIDATION</v>
      </c>
      <c r="G5" t="str">
        <f>VLOOKUP(E5,'MuleApps&lt;=&gt;MuleIntegrations'!B:D,3,FALSE)</f>
        <v>Mixed</v>
      </c>
    </row>
    <row r="6" spans="1:7">
      <c r="A6" s="14">
        <v>5</v>
      </c>
      <c r="B6" s="6" t="s">
        <v>183</v>
      </c>
      <c r="C6" s="6" t="s">
        <v>179</v>
      </c>
      <c r="D6" s="6" t="s">
        <v>8</v>
      </c>
      <c r="E6" t="s">
        <v>168</v>
      </c>
      <c r="F6" t="str">
        <f>VLOOKUP(E6,'MuleApps&lt;=&gt;MuleIntegrations'!B:C,2,FALSE)</f>
        <v>MUL-OPCARDS</v>
      </c>
      <c r="G6" t="str">
        <f>VLOOKUP(E6,'MuleApps&lt;=&gt;MuleIntegrations'!B:D,3,FALSE)</f>
        <v>API</v>
      </c>
    </row>
    <row r="7" spans="1:7">
      <c r="A7" s="14">
        <v>6</v>
      </c>
      <c r="B7" s="6" t="s">
        <v>184</v>
      </c>
      <c r="C7" s="6" t="s">
        <v>185</v>
      </c>
      <c r="D7" s="6" t="s">
        <v>8</v>
      </c>
      <c r="E7" t="s">
        <v>69</v>
      </c>
      <c r="F7" t="str">
        <f>VLOOKUP(E7,'MuleApps&lt;=&gt;MuleIntegrations'!B:C,2,FALSE)</f>
        <v>MUL-DATALAKE</v>
      </c>
      <c r="G7" t="str">
        <f>VLOOKUP(E7,'MuleApps&lt;=&gt;MuleIntegrations'!B:D,3,FALSE)</f>
        <v>File Transfer</v>
      </c>
    </row>
    <row r="8" spans="1:7">
      <c r="A8" s="14">
        <v>7</v>
      </c>
      <c r="B8" s="6" t="s">
        <v>186</v>
      </c>
      <c r="C8" s="6" t="s">
        <v>179</v>
      </c>
      <c r="D8" s="6" t="s">
        <v>8</v>
      </c>
      <c r="E8" t="s">
        <v>152</v>
      </c>
      <c r="F8" t="str">
        <f>VLOOKUP(E8,'MuleApps&lt;=&gt;MuleIntegrations'!B:C,2,FALSE)</f>
        <v>MUL-CONSENT</v>
      </c>
      <c r="G8" t="str">
        <f>VLOOKUP(E8,'MuleApps&lt;=&gt;MuleIntegrations'!B:D,3,FALSE)</f>
        <v>Mixed</v>
      </c>
    </row>
    <row r="9" spans="1:7">
      <c r="A9" s="14">
        <v>8</v>
      </c>
      <c r="B9" s="6" t="s">
        <v>187</v>
      </c>
      <c r="C9" s="6" t="s">
        <v>179</v>
      </c>
      <c r="D9" s="6" t="s">
        <v>8</v>
      </c>
      <c r="E9" t="s">
        <v>154</v>
      </c>
      <c r="F9" t="str">
        <f>VLOOKUP(E9,'MuleApps&lt;=&gt;MuleIntegrations'!B:C,2,FALSE)</f>
        <v>MUL-CONSENT</v>
      </c>
      <c r="G9" t="str">
        <f>VLOOKUP(E9,'MuleApps&lt;=&gt;MuleIntegrations'!B:D,3,FALSE)</f>
        <v>Mixed</v>
      </c>
    </row>
    <row r="10" spans="1:7">
      <c r="A10" s="14">
        <v>9</v>
      </c>
      <c r="B10" s="6" t="s">
        <v>188</v>
      </c>
      <c r="C10" s="6" t="s">
        <v>179</v>
      </c>
      <c r="D10" s="6" t="s">
        <v>8</v>
      </c>
      <c r="E10" t="s">
        <v>102</v>
      </c>
      <c r="F10" t="str">
        <f>VLOOKUP(E10,'MuleApps&lt;=&gt;MuleIntegrations'!B:C,2,FALSE)</f>
        <v>MUL-INVENTORYAUTOMATION</v>
      </c>
      <c r="G10" t="str">
        <f>VLOOKUP(E10,'MuleApps&lt;=&gt;MuleIntegrations'!B:D,3,FALSE)</f>
        <v>Mixed</v>
      </c>
    </row>
    <row r="11" spans="1:7">
      <c r="A11" s="14">
        <v>10</v>
      </c>
      <c r="B11" s="6" t="s">
        <v>189</v>
      </c>
      <c r="C11" s="6" t="s">
        <v>179</v>
      </c>
      <c r="D11" s="6" t="s">
        <v>8</v>
      </c>
      <c r="E11" t="s">
        <v>36</v>
      </c>
      <c r="F11" t="str">
        <f>VLOOKUP(E11,'MuleApps&lt;=&gt;MuleIntegrations'!B:C,2,FALSE)</f>
        <v>MUL-ACCOUNT-VALIDATION</v>
      </c>
      <c r="G11" t="str">
        <f>VLOOKUP(E11,'MuleApps&lt;=&gt;MuleIntegrations'!B:D,3,FALSE)</f>
        <v>Mixed</v>
      </c>
    </row>
    <row r="12" spans="1:7">
      <c r="A12" s="14">
        <v>11</v>
      </c>
      <c r="B12" s="6" t="s">
        <v>190</v>
      </c>
      <c r="C12" s="6" t="s">
        <v>179</v>
      </c>
      <c r="D12" s="6" t="s">
        <v>8</v>
      </c>
      <c r="E12" t="s">
        <v>107</v>
      </c>
      <c r="F12" t="str">
        <f>VLOOKUP(E12,'MuleApps&lt;=&gt;MuleIntegrations'!B:C,2,FALSE)</f>
        <v>MUL-PUNCHOUT</v>
      </c>
      <c r="G12" t="str">
        <f>VLOOKUP(E12,'MuleApps&lt;=&gt;MuleIntegrations'!B:D,3,FALSE)</f>
        <v>API</v>
      </c>
    </row>
    <row r="13" spans="1:7">
      <c r="A13" s="14">
        <v>12</v>
      </c>
      <c r="B13" s="6" t="s">
        <v>191</v>
      </c>
      <c r="C13" s="6" t="s">
        <v>179</v>
      </c>
      <c r="D13" s="6" t="s">
        <v>8</v>
      </c>
      <c r="E13" t="s">
        <v>111</v>
      </c>
      <c r="F13" t="str">
        <f>VLOOKUP(E13,'MuleApps&lt;=&gt;MuleIntegrations'!B:C,2,FALSE)</f>
        <v>MUL-PRODUCTS</v>
      </c>
      <c r="G13" t="str">
        <f>VLOOKUP(E13,'MuleApps&lt;=&gt;MuleIntegrations'!B:D,3,FALSE)</f>
        <v>API</v>
      </c>
    </row>
    <row r="14" spans="1:7">
      <c r="A14" s="14">
        <v>13</v>
      </c>
      <c r="B14" s="6" t="s">
        <v>192</v>
      </c>
      <c r="C14" s="6" t="s">
        <v>179</v>
      </c>
      <c r="D14" s="6" t="s">
        <v>8</v>
      </c>
      <c r="E14" t="s">
        <v>115</v>
      </c>
      <c r="F14" t="str">
        <f>VLOOKUP(E14,'MuleApps&lt;=&gt;MuleIntegrations'!B:C,2,FALSE)</f>
        <v>MUL-SALESORDERS</v>
      </c>
      <c r="G14" t="str">
        <f>VLOOKUP(E14,'MuleApps&lt;=&gt;MuleIntegrations'!B:D,3,FALSE)</f>
        <v>API</v>
      </c>
    </row>
    <row r="15" spans="1:7">
      <c r="A15" s="14">
        <v>14</v>
      </c>
      <c r="B15" s="6" t="s">
        <v>193</v>
      </c>
      <c r="C15" s="6" t="s">
        <v>179</v>
      </c>
      <c r="D15" s="6" t="s">
        <v>8</v>
      </c>
      <c r="E15" t="s">
        <v>103</v>
      </c>
      <c r="F15" t="str">
        <f>VLOOKUP(E15,'MuleApps&lt;=&gt;MuleIntegrations'!B:C,2,FALSE)</f>
        <v>MUL-INVENTORYAUTOMATION</v>
      </c>
      <c r="G15" t="str">
        <f>VLOOKUP(E15,'MuleApps&lt;=&gt;MuleIntegrations'!B:D,3,FALSE)</f>
        <v>Mixed</v>
      </c>
    </row>
    <row r="16" spans="1:7">
      <c r="A16" s="14">
        <v>15</v>
      </c>
      <c r="B16" s="6" t="s">
        <v>194</v>
      </c>
      <c r="C16" s="6" t="s">
        <v>179</v>
      </c>
      <c r="D16" s="6" t="s">
        <v>8</v>
      </c>
      <c r="E16" t="s">
        <v>29</v>
      </c>
      <c r="F16" t="str">
        <f>VLOOKUP(E16,'MuleApps&lt;=&gt;MuleIntegrations'!B:C,2,FALSE)</f>
        <v>MUL-COLUMBUSFILES</v>
      </c>
      <c r="G16" t="str">
        <f>VLOOKUP(E16,'MuleApps&lt;=&gt;MuleIntegrations'!B:D,3,FALSE)</f>
        <v>File Transfer</v>
      </c>
    </row>
    <row r="17" spans="1:7">
      <c r="A17" s="14">
        <v>16</v>
      </c>
      <c r="B17" s="6" t="s">
        <v>195</v>
      </c>
      <c r="C17" s="6" t="s">
        <v>185</v>
      </c>
      <c r="D17" s="6" t="s">
        <v>8</v>
      </c>
      <c r="E17" t="s">
        <v>101</v>
      </c>
      <c r="F17" t="str">
        <f>VLOOKUP(E17,'MuleApps&lt;=&gt;MuleIntegrations'!B:C,2,FALSE)</f>
        <v>MUL-INVENTORYAUTOMATION</v>
      </c>
      <c r="G17" t="str">
        <f>VLOOKUP(E17,'MuleApps&lt;=&gt;MuleIntegrations'!B:D,3,FALSE)</f>
        <v>Mixed</v>
      </c>
    </row>
    <row r="18" spans="1:7">
      <c r="A18" s="14">
        <v>17</v>
      </c>
      <c r="B18" s="6" t="s">
        <v>196</v>
      </c>
      <c r="C18" s="6" t="s">
        <v>179</v>
      </c>
      <c r="D18" s="6" t="s">
        <v>8</v>
      </c>
      <c r="E18" t="s">
        <v>40</v>
      </c>
      <c r="F18" t="str">
        <f>VLOOKUP(E18,'MuleApps&lt;=&gt;MuleIntegrations'!B:C,2,FALSE)</f>
        <v>MUL-TIMBERDATABASE</v>
      </c>
      <c r="G18" t="str">
        <f>VLOOKUP(E18,'MuleApps&lt;=&gt;MuleIntegrations'!B:D,3,FALSE)</f>
        <v>File Transfer</v>
      </c>
    </row>
    <row r="19" spans="1:7">
      <c r="A19" s="14">
        <v>18</v>
      </c>
      <c r="B19" s="6" t="s">
        <v>197</v>
      </c>
      <c r="C19" s="6" t="s">
        <v>179</v>
      </c>
      <c r="D19" s="6" t="s">
        <v>8</v>
      </c>
      <c r="E19" t="s">
        <v>6</v>
      </c>
      <c r="F19" t="str">
        <f>VLOOKUP(E19,'MuleApps&lt;=&gt;MuleIntegrations'!B:C,2,FALSE)</f>
        <v>MUL-CONSOLIDATEDINVOICE</v>
      </c>
      <c r="G19" t="str">
        <f>VLOOKUP(E19,'MuleApps&lt;=&gt;MuleIntegrations'!B:D,3,FALSE)</f>
        <v>Mixed</v>
      </c>
    </row>
    <row r="20" spans="1:7">
      <c r="A20" s="14">
        <v>19</v>
      </c>
      <c r="B20" s="6" t="s">
        <v>198</v>
      </c>
      <c r="C20" s="6" t="s">
        <v>179</v>
      </c>
      <c r="D20" s="6" t="s">
        <v>8</v>
      </c>
      <c r="E20" t="s">
        <v>22</v>
      </c>
      <c r="F20" t="str">
        <f>VLOOKUP(E20,'MuleApps&lt;=&gt;MuleIntegrations'!B:C,2,FALSE)</f>
        <v>MUL-COLUMBUS-DOC-HYBRIS</v>
      </c>
      <c r="G20" t="str">
        <f>VLOOKUP(E20,'MuleApps&lt;=&gt;MuleIntegrations'!B:D,3,FALSE)</f>
        <v>API</v>
      </c>
    </row>
    <row r="21" spans="1:7">
      <c r="A21" s="14">
        <v>20</v>
      </c>
      <c r="B21" s="6" t="s">
        <v>199</v>
      </c>
      <c r="C21" s="6" t="s">
        <v>179</v>
      </c>
      <c r="D21" s="6" t="s">
        <v>8</v>
      </c>
      <c r="E21" t="s">
        <v>32</v>
      </c>
      <c r="F21" t="str">
        <f>VLOOKUP(E21,'MuleApps&lt;=&gt;MuleIntegrations'!B:C,2,FALSE)</f>
        <v>MUL-COLUMBUS-DOCUMENTS</v>
      </c>
      <c r="G21" t="str">
        <f>VLOOKUP(E21,'MuleApps&lt;=&gt;MuleIntegrations'!B:D,3,FALSE)</f>
        <v>API</v>
      </c>
    </row>
    <row r="22" spans="1:7">
      <c r="A22" s="14">
        <v>21</v>
      </c>
      <c r="B22" s="6" t="s">
        <v>200</v>
      </c>
      <c r="C22" s="6" t="s">
        <v>179</v>
      </c>
      <c r="D22" s="6" t="s">
        <v>8</v>
      </c>
      <c r="E22" t="s">
        <v>23</v>
      </c>
      <c r="F22" t="str">
        <f>VLOOKUP(E22,'MuleApps&lt;=&gt;MuleIntegrations'!B:C,2,FALSE)</f>
        <v>MUL-COLUMBUS-DOC-HYBRIS</v>
      </c>
      <c r="G22" t="str">
        <f>VLOOKUP(E22,'MuleApps&lt;=&gt;MuleIntegrations'!B:D,3,FALSE)</f>
        <v>API</v>
      </c>
    </row>
    <row r="23" spans="1:7">
      <c r="A23" s="14">
        <v>22</v>
      </c>
      <c r="B23" s="6" t="s">
        <v>201</v>
      </c>
      <c r="C23" s="6" t="s">
        <v>179</v>
      </c>
      <c r="D23" s="6" t="s">
        <v>8</v>
      </c>
      <c r="E23" t="s">
        <v>9</v>
      </c>
      <c r="F23" t="str">
        <f>VLOOKUP(E23,'MuleApps&lt;=&gt;MuleIntegrations'!B:C,2,FALSE)</f>
        <v>MUL-CONSOLIDATEDINVOICE</v>
      </c>
      <c r="G23" t="str">
        <f>VLOOKUP(E23,'MuleApps&lt;=&gt;MuleIntegrations'!B:D,3,FALSE)</f>
        <v>Mixed</v>
      </c>
    </row>
    <row r="24" spans="1:7">
      <c r="A24" s="14">
        <v>23</v>
      </c>
      <c r="B24" s="6" t="s">
        <v>202</v>
      </c>
      <c r="C24" s="6" t="s">
        <v>179</v>
      </c>
      <c r="D24" s="6" t="s">
        <v>8</v>
      </c>
      <c r="E24" t="s">
        <v>135</v>
      </c>
      <c r="F24" t="str">
        <f>VLOOKUP(E24,'MuleApps&lt;=&gt;MuleIntegrations'!B:C,2,FALSE)</f>
        <v>MUL-SMS-RELAY</v>
      </c>
      <c r="G24" t="str">
        <f>VLOOKUP(E24,'MuleApps&lt;=&gt;MuleIntegrations'!B:D,3,FALSE)</f>
        <v>API</v>
      </c>
    </row>
    <row r="25" spans="1:7">
      <c r="A25" s="14">
        <v>24</v>
      </c>
      <c r="B25" s="6" t="s">
        <v>203</v>
      </c>
      <c r="C25" s="6" t="s">
        <v>179</v>
      </c>
      <c r="D25" s="6" t="s">
        <v>8</v>
      </c>
      <c r="E25" t="s">
        <v>136</v>
      </c>
      <c r="F25" t="str">
        <f>VLOOKUP(E25,'MuleApps&lt;=&gt;MuleIntegrations'!B:C,2,FALSE)</f>
        <v>MUL-SMS-RELAY</v>
      </c>
      <c r="G25" t="str">
        <f>VLOOKUP(E25,'MuleApps&lt;=&gt;MuleIntegrations'!B:D,3,FALSE)</f>
        <v>API</v>
      </c>
    </row>
    <row r="26" spans="1:7">
      <c r="A26" s="14">
        <v>25</v>
      </c>
      <c r="B26" s="6" t="s">
        <v>204</v>
      </c>
      <c r="C26" s="6" t="s">
        <v>179</v>
      </c>
      <c r="D26" s="6" t="s">
        <v>8</v>
      </c>
      <c r="E26" t="s">
        <v>205</v>
      </c>
      <c r="F26" t="e">
        <f>VLOOKUP(E26,'MuleApps&lt;=&gt;MuleIntegrations'!B:C,2,FALSE)</f>
        <v>#N/A</v>
      </c>
      <c r="G26" t="e">
        <f>VLOOKUP(E26,'MuleApps&lt;=&gt;MuleIntegrations'!B:D,3,FALSE)</f>
        <v>#N/A</v>
      </c>
    </row>
    <row r="27" spans="1:7">
      <c r="A27" s="14">
        <v>26</v>
      </c>
      <c r="B27" s="11" t="s">
        <v>206</v>
      </c>
      <c r="C27" s="5" t="s">
        <v>179</v>
      </c>
      <c r="D27" s="6" t="s">
        <v>8</v>
      </c>
      <c r="E27" t="s">
        <v>173</v>
      </c>
      <c r="F27" t="str">
        <f>VLOOKUP(E27,'MuleApps&lt;=&gt;MuleIntegrations'!B:C,2,FALSE)</f>
        <v>MUL-CONCUR</v>
      </c>
      <c r="G27" t="str">
        <f>VLOOKUP(E27,'MuleApps&lt;=&gt;MuleIntegrations'!B:D,3,FALSE)</f>
        <v>Mixed</v>
      </c>
    </row>
    <row r="28" spans="1:7">
      <c r="A28" s="14">
        <v>27</v>
      </c>
      <c r="B28" s="12" t="s">
        <v>207</v>
      </c>
      <c r="C28" s="6" t="s">
        <v>179</v>
      </c>
      <c r="D28" s="6" t="s">
        <v>8</v>
      </c>
      <c r="E28" t="s">
        <v>172</v>
      </c>
      <c r="F28" t="str">
        <f>VLOOKUP(E28,'MuleApps&lt;=&gt;MuleIntegrations'!B:C,2,FALSE)</f>
        <v>MUL-CONCUR</v>
      </c>
      <c r="G28" t="str">
        <f>VLOOKUP(E28,'MuleApps&lt;=&gt;MuleIntegrations'!B:D,3,FALSE)</f>
        <v>Mixed</v>
      </c>
    </row>
    <row r="29" spans="1:7">
      <c r="A29" s="14">
        <v>28</v>
      </c>
      <c r="B29" s="6" t="s">
        <v>208</v>
      </c>
      <c r="C29" s="6" t="s">
        <v>179</v>
      </c>
      <c r="D29" s="6" t="s">
        <v>8</v>
      </c>
      <c r="E29" t="s">
        <v>78</v>
      </c>
      <c r="F29" t="str">
        <f>VLOOKUP(E29,'MuleApps&lt;=&gt;MuleIntegrations'!B:C,2,FALSE)</f>
        <v>MUL-PRODUCT-FEED</v>
      </c>
      <c r="G29" t="str">
        <f>VLOOKUP(E29,'MuleApps&lt;=&gt;MuleIntegrations'!B:D,3,FALSE)</f>
        <v>Mixed</v>
      </c>
    </row>
    <row r="30" spans="1:7">
      <c r="A30" s="14">
        <v>29</v>
      </c>
      <c r="B30" s="6" t="s">
        <v>209</v>
      </c>
      <c r="C30" s="6" t="s">
        <v>179</v>
      </c>
      <c r="D30" s="6" t="s">
        <v>8</v>
      </c>
      <c r="E30" t="s">
        <v>124</v>
      </c>
      <c r="F30" t="str">
        <f>VLOOKUP(E30,'MuleApps&lt;=&gt;MuleIntegrations'!B:C,2,FALSE)</f>
        <v>MUL-CUSTORDERVALIDATION</v>
      </c>
      <c r="G30" t="str">
        <f>VLOOKUP(E30,'MuleApps&lt;=&gt;MuleIntegrations'!B:D,3,FALSE)</f>
        <v>Mixed</v>
      </c>
    </row>
    <row r="31" spans="1:7">
      <c r="A31" s="14">
        <v>30</v>
      </c>
      <c r="B31" s="6" t="s">
        <v>210</v>
      </c>
      <c r="C31" s="6" t="s">
        <v>179</v>
      </c>
      <c r="D31" s="6" t="s">
        <v>8</v>
      </c>
      <c r="E31" t="s">
        <v>127</v>
      </c>
      <c r="F31" t="str">
        <f>VLOOKUP(E31,'MuleApps&lt;=&gt;MuleIntegrations'!B:C,2,FALSE)</f>
        <v>MUL-CUSTORDERVALIDATION</v>
      </c>
      <c r="G31" t="str">
        <f>VLOOKUP(E31,'MuleApps&lt;=&gt;MuleIntegrations'!B:D,3,FALSE)</f>
        <v>Mixed</v>
      </c>
    </row>
    <row r="32" spans="1:7">
      <c r="A32" s="14">
        <v>31</v>
      </c>
      <c r="B32" s="6" t="s">
        <v>211</v>
      </c>
      <c r="C32" s="6" t="s">
        <v>179</v>
      </c>
      <c r="D32" s="6" t="s">
        <v>8</v>
      </c>
      <c r="E32" t="s">
        <v>125</v>
      </c>
      <c r="F32" t="str">
        <f>VLOOKUP(E32,'MuleApps&lt;=&gt;MuleIntegrations'!B:C,2,FALSE)</f>
        <v>MUL-CUSTORDERVALIDATION</v>
      </c>
      <c r="G32" t="str">
        <f>VLOOKUP(E32,'MuleApps&lt;=&gt;MuleIntegrations'!B:D,3,FALSE)</f>
        <v>Mixed</v>
      </c>
    </row>
    <row r="33" spans="1:7">
      <c r="A33" s="14">
        <v>32</v>
      </c>
      <c r="B33" s="6" t="s">
        <v>212</v>
      </c>
      <c r="C33" s="6" t="s">
        <v>179</v>
      </c>
      <c r="D33" s="6" t="s">
        <v>8</v>
      </c>
      <c r="E33" t="s">
        <v>122</v>
      </c>
      <c r="F33" t="str">
        <f>VLOOKUP(E33,'MuleApps&lt;=&gt;MuleIntegrations'!B:C,2,FALSE)</f>
        <v>MUL-BRANCHFINDER</v>
      </c>
      <c r="G33" t="str">
        <f>VLOOKUP(E33,'MuleApps&lt;=&gt;MuleIntegrations'!B:D,3,FALSE)</f>
        <v>API</v>
      </c>
    </row>
    <row r="34" spans="1:7">
      <c r="A34" s="14">
        <v>33</v>
      </c>
      <c r="B34" s="6" t="s">
        <v>213</v>
      </c>
      <c r="C34" s="6" t="s">
        <v>179</v>
      </c>
      <c r="D34" s="6" t="s">
        <v>8</v>
      </c>
      <c r="E34" t="s">
        <v>121</v>
      </c>
      <c r="F34" t="str">
        <f>VLOOKUP(E34,'MuleApps&lt;=&gt;MuleIntegrations'!B:C,2,FALSE)</f>
        <v>MUL-BRANCHFINDER</v>
      </c>
      <c r="G34" t="str">
        <f>VLOOKUP(E34,'MuleApps&lt;=&gt;MuleIntegrations'!B:D,3,FALSE)</f>
        <v>API</v>
      </c>
    </row>
    <row r="35" spans="1:7">
      <c r="A35" s="14">
        <v>34</v>
      </c>
      <c r="B35" s="6" t="s">
        <v>214</v>
      </c>
      <c r="C35" s="6" t="s">
        <v>179</v>
      </c>
      <c r="D35" s="6" t="s">
        <v>8</v>
      </c>
      <c r="E35" t="s">
        <v>120</v>
      </c>
      <c r="F35" t="str">
        <f>VLOOKUP(E35,'MuleApps&lt;=&gt;MuleIntegrations'!B:C,2,FALSE)</f>
        <v>MUL-BRANCHFINDER</v>
      </c>
      <c r="G35" t="str">
        <f>VLOOKUP(E35,'MuleApps&lt;=&gt;MuleIntegrations'!B:D,3,FALSE)</f>
        <v>API</v>
      </c>
    </row>
    <row r="36" spans="1:7">
      <c r="A36" s="14">
        <v>35</v>
      </c>
      <c r="B36" s="6" t="s">
        <v>215</v>
      </c>
      <c r="C36" s="6" t="s">
        <v>179</v>
      </c>
      <c r="D36" s="6" t="s">
        <v>8</v>
      </c>
      <c r="E36" t="s">
        <v>146</v>
      </c>
      <c r="F36" t="str">
        <f>VLOOKUP(E36,'MuleApps&lt;=&gt;MuleIntegrations'!B:C,2,FALSE)</f>
        <v>MUL-VANSTOCK-PURCHASEORDER</v>
      </c>
      <c r="G36" t="str">
        <f>VLOOKUP(E36,'MuleApps&lt;=&gt;MuleIntegrations'!B:D,3,FALSE)</f>
        <v>API</v>
      </c>
    </row>
    <row r="37" spans="1:7">
      <c r="A37" s="14">
        <v>36</v>
      </c>
      <c r="B37" s="6" t="s">
        <v>216</v>
      </c>
      <c r="C37" s="6" t="s">
        <v>179</v>
      </c>
      <c r="D37" s="6" t="s">
        <v>8</v>
      </c>
      <c r="E37" t="s">
        <v>145</v>
      </c>
      <c r="F37" t="str">
        <f>VLOOKUP(E37,'MuleApps&lt;=&gt;MuleIntegrations'!B:C,2,FALSE)</f>
        <v>MUL-VANSTOCK-PURCHASEORDER</v>
      </c>
      <c r="G37" t="str">
        <f>VLOOKUP(E37,'MuleApps&lt;=&gt;MuleIntegrations'!B:D,3,FALSE)</f>
        <v>API</v>
      </c>
    </row>
    <row r="38" spans="1:7">
      <c r="A38" s="14">
        <v>37</v>
      </c>
      <c r="B38" s="6" t="s">
        <v>217</v>
      </c>
      <c r="C38" s="6" t="s">
        <v>179</v>
      </c>
      <c r="D38" s="6" t="s">
        <v>8</v>
      </c>
      <c r="E38" t="s">
        <v>144</v>
      </c>
      <c r="F38" t="str">
        <f>VLOOKUP(E38,'MuleApps&lt;=&gt;MuleIntegrations'!B:C,2,FALSE)</f>
        <v>MUL-VANSTOCK-PURCHASEORDER</v>
      </c>
      <c r="G38" t="str">
        <f>VLOOKUP(E38,'MuleApps&lt;=&gt;MuleIntegrations'!B:D,3,FALSE)</f>
        <v>API</v>
      </c>
    </row>
    <row r="39" spans="1:7">
      <c r="A39" s="14">
        <v>38</v>
      </c>
      <c r="B39" s="6" t="s">
        <v>218</v>
      </c>
      <c r="C39" s="6" t="s">
        <v>179</v>
      </c>
      <c r="D39" s="6" t="s">
        <v>8</v>
      </c>
      <c r="E39" t="s">
        <v>12</v>
      </c>
      <c r="F39" t="str">
        <f>VLOOKUP(E39,'MuleApps&lt;=&gt;MuleIntegrations'!B:C,2,FALSE)</f>
        <v>MUL-CONSOLIDATEDINVOICE</v>
      </c>
      <c r="G39" t="str">
        <f>VLOOKUP(E39,'MuleApps&lt;=&gt;MuleIntegrations'!B:D,3,FALSE)</f>
        <v>Mixed</v>
      </c>
    </row>
    <row r="40" spans="1:7">
      <c r="A40" s="14">
        <v>39</v>
      </c>
      <c r="B40" s="6" t="s">
        <v>219</v>
      </c>
      <c r="C40" s="6" t="s">
        <v>179</v>
      </c>
      <c r="D40" s="6" t="s">
        <v>8</v>
      </c>
      <c r="E40" t="s">
        <v>14</v>
      </c>
      <c r="F40" t="str">
        <f>VLOOKUP(E40,'MuleApps&lt;=&gt;MuleIntegrations'!B:C,2,FALSE)</f>
        <v>MUL-CONSOLIDATEDINVOICE</v>
      </c>
      <c r="G40" t="str">
        <f>VLOOKUP(E40,'MuleApps&lt;=&gt;MuleIntegrations'!B:D,3,FALSE)</f>
        <v>Mixed</v>
      </c>
    </row>
    <row r="41" spans="1:7">
      <c r="A41" s="14">
        <v>40</v>
      </c>
      <c r="B41" s="6" t="s">
        <v>220</v>
      </c>
      <c r="C41" s="6" t="s">
        <v>179</v>
      </c>
      <c r="D41" s="6" t="s">
        <v>8</v>
      </c>
      <c r="E41" t="s">
        <v>13</v>
      </c>
      <c r="F41" t="str">
        <f>VLOOKUP(E41,'MuleApps&lt;=&gt;MuleIntegrations'!B:C,2,FALSE)</f>
        <v>MUL-CONSOLIDATEDINVOICE</v>
      </c>
      <c r="G41" t="str">
        <f>VLOOKUP(E41,'MuleApps&lt;=&gt;MuleIntegrations'!B:D,3,FALSE)</f>
        <v>Mixed</v>
      </c>
    </row>
    <row r="42" spans="1:7">
      <c r="A42" s="14">
        <v>41</v>
      </c>
      <c r="B42" s="6" t="s">
        <v>221</v>
      </c>
      <c r="C42" s="6" t="s">
        <v>179</v>
      </c>
      <c r="D42" s="6" t="s">
        <v>8</v>
      </c>
      <c r="E42" t="s">
        <v>70</v>
      </c>
      <c r="F42" t="str">
        <f>VLOOKUP(E42,'MuleApps&lt;=&gt;MuleIntegrations'!B:C,2,FALSE)</f>
        <v>MUL-DATALAKE</v>
      </c>
      <c r="G42" t="str">
        <f>VLOOKUP(E42,'MuleApps&lt;=&gt;MuleIntegrations'!B:D,3,FALSE)</f>
        <v>File Transfer</v>
      </c>
    </row>
    <row r="43" spans="1:7">
      <c r="A43" s="14">
        <v>42</v>
      </c>
      <c r="B43" s="6" t="s">
        <v>222</v>
      </c>
      <c r="C43" s="6" t="s">
        <v>179</v>
      </c>
      <c r="D43" s="6" t="s">
        <v>8</v>
      </c>
      <c r="E43" t="s">
        <v>223</v>
      </c>
      <c r="F43" t="e">
        <f>VLOOKUP(E43,'MuleApps&lt;=&gt;MuleIntegrations'!B:C,2,FALSE)</f>
        <v>#N/A</v>
      </c>
      <c r="G43" t="e">
        <f>VLOOKUP(E43,'MuleApps&lt;=&gt;MuleIntegrations'!B:D,3,FALSE)</f>
        <v>#N/A</v>
      </c>
    </row>
    <row r="44" spans="1:7">
      <c r="A44" s="14">
        <v>43</v>
      </c>
      <c r="B44" s="6" t="s">
        <v>224</v>
      </c>
      <c r="C44" s="6" t="s">
        <v>179</v>
      </c>
      <c r="D44" s="6" t="s">
        <v>8</v>
      </c>
      <c r="E44" t="s">
        <v>76</v>
      </c>
      <c r="F44" t="str">
        <f>VLOOKUP(E44,'MuleApps&lt;=&gt;MuleIntegrations'!B:C,2,FALSE)</f>
        <v>MUL-PRODUCT-FEED</v>
      </c>
      <c r="G44" t="str">
        <f>VLOOKUP(E44,'MuleApps&lt;=&gt;MuleIntegrations'!B:D,3,FALSE)</f>
        <v>Mixed</v>
      </c>
    </row>
    <row r="45" spans="1:7">
      <c r="A45" s="14">
        <v>44</v>
      </c>
      <c r="B45" s="6" t="s">
        <v>225</v>
      </c>
      <c r="C45" s="6" t="s">
        <v>179</v>
      </c>
      <c r="D45" s="6" t="s">
        <v>8</v>
      </c>
      <c r="E45" t="s">
        <v>75</v>
      </c>
      <c r="F45" t="str">
        <f>VLOOKUP(E45,'MuleApps&lt;=&gt;MuleIntegrations'!B:C,2,FALSE)</f>
        <v>MUL-PRODUCT-FEED</v>
      </c>
      <c r="G45" t="str">
        <f>VLOOKUP(E45,'MuleApps&lt;=&gt;MuleIntegrations'!B:D,3,FALSE)</f>
        <v>Mixed</v>
      </c>
    </row>
    <row r="46" spans="1:7">
      <c r="A46" s="14">
        <v>45</v>
      </c>
      <c r="B46" s="6" t="s">
        <v>226</v>
      </c>
      <c r="C46" s="6" t="s">
        <v>179</v>
      </c>
      <c r="D46" s="6" t="s">
        <v>8</v>
      </c>
      <c r="E46" t="s">
        <v>35</v>
      </c>
      <c r="F46" t="str">
        <f>VLOOKUP(E46,'MuleApps&lt;=&gt;MuleIntegrations'!B:C,2,FALSE)</f>
        <v>MUL-ACCOUNT-VALIDATION</v>
      </c>
      <c r="G46" t="str">
        <f>VLOOKUP(E46,'MuleApps&lt;=&gt;MuleIntegrations'!B:D,3,FALSE)</f>
        <v>Mixed</v>
      </c>
    </row>
    <row r="47" spans="1:7">
      <c r="A47" s="14">
        <v>46</v>
      </c>
      <c r="B47" s="6" t="s">
        <v>227</v>
      </c>
      <c r="C47" s="6" t="s">
        <v>179</v>
      </c>
      <c r="D47" s="6" t="s">
        <v>8</v>
      </c>
      <c r="E47" t="s">
        <v>38</v>
      </c>
      <c r="F47" t="str">
        <f>VLOOKUP(E47,'MuleApps&lt;=&gt;MuleIntegrations'!B:C,2,FALSE)</f>
        <v>MUL-ACCOUNT-VALIDATION</v>
      </c>
      <c r="G47" t="str">
        <f>VLOOKUP(E47,'MuleApps&lt;=&gt;MuleIntegrations'!B:D,3,FALSE)</f>
        <v>Mixed</v>
      </c>
    </row>
    <row r="48" spans="1:7">
      <c r="A48" s="14">
        <v>47</v>
      </c>
      <c r="B48" s="6" t="s">
        <v>228</v>
      </c>
      <c r="C48" s="6" t="s">
        <v>185</v>
      </c>
      <c r="D48" s="6" t="s">
        <v>8</v>
      </c>
      <c r="E48" t="s">
        <v>34</v>
      </c>
      <c r="F48" t="str">
        <f>VLOOKUP(E48,'MuleApps&lt;=&gt;MuleIntegrations'!B:C,2,FALSE)</f>
        <v>MUL-ACCOUNT-VALIDATION</v>
      </c>
      <c r="G48" t="str">
        <f>VLOOKUP(E48,'MuleApps&lt;=&gt;MuleIntegrations'!B:D,3,FALSE)</f>
        <v>Mixed</v>
      </c>
    </row>
    <row r="49" spans="1:7">
      <c r="A49" s="14">
        <v>48</v>
      </c>
      <c r="B49" s="6" t="s">
        <v>229</v>
      </c>
      <c r="C49" s="6" t="s">
        <v>179</v>
      </c>
      <c r="D49" s="6" t="s">
        <v>8</v>
      </c>
      <c r="E49" t="s">
        <v>109</v>
      </c>
      <c r="F49" t="str">
        <f>VLOOKUP(E49,'MuleApps&lt;=&gt;MuleIntegrations'!B:C,2,FALSE)</f>
        <v>MUL-PRODUCTS</v>
      </c>
      <c r="G49" t="str">
        <f>VLOOKUP(E49,'MuleApps&lt;=&gt;MuleIntegrations'!B:D,3,FALSE)</f>
        <v>API</v>
      </c>
    </row>
    <row r="50" spans="1:7">
      <c r="A50" s="14">
        <v>49</v>
      </c>
      <c r="B50" s="6" t="s">
        <v>230</v>
      </c>
      <c r="C50" s="6" t="s">
        <v>179</v>
      </c>
      <c r="D50" s="6" t="s">
        <v>8</v>
      </c>
      <c r="E50" t="s">
        <v>67</v>
      </c>
      <c r="F50" t="str">
        <f>VLOOKUP(E50,'MuleApps&lt;=&gt;MuleIntegrations'!B:C,2,FALSE)</f>
        <v>MUL-ICONACCOUNTS</v>
      </c>
      <c r="G50" t="str">
        <f>VLOOKUP(E50,'MuleApps&lt;=&gt;MuleIntegrations'!B:D,3,FALSE)</f>
        <v>API</v>
      </c>
    </row>
    <row r="51" spans="1:7">
      <c r="A51" s="14">
        <v>50</v>
      </c>
      <c r="B51" s="6" t="s">
        <v>231</v>
      </c>
      <c r="C51" s="6" t="s">
        <v>179</v>
      </c>
      <c r="D51" s="6" t="s">
        <v>8</v>
      </c>
      <c r="E51" t="s">
        <v>73</v>
      </c>
      <c r="F51" t="str">
        <f>VLOOKUP(E51,'MuleApps&lt;=&gt;MuleIntegrations'!B:C,2,FALSE)</f>
        <v>MUL-PRODUCT-FEED</v>
      </c>
      <c r="G51" t="str">
        <f>VLOOKUP(E51,'MuleApps&lt;=&gt;MuleIntegrations'!B:D,3,FALSE)</f>
        <v>Mixed</v>
      </c>
    </row>
    <row r="52" spans="1:7">
      <c r="A52" s="14">
        <v>51</v>
      </c>
      <c r="B52" s="6" t="s">
        <v>232</v>
      </c>
      <c r="C52" s="6" t="s">
        <v>179</v>
      </c>
      <c r="D52" s="6" t="s">
        <v>8</v>
      </c>
      <c r="E52" t="s">
        <v>113</v>
      </c>
      <c r="F52" t="str">
        <f>VLOOKUP(E52,'MuleApps&lt;=&gt;MuleIntegrations'!B:C,2,FALSE)</f>
        <v>MUL-SALESORDERS</v>
      </c>
      <c r="G52" t="str">
        <f>VLOOKUP(E52,'MuleApps&lt;=&gt;MuleIntegrations'!B:D,3,FALSE)</f>
        <v>API</v>
      </c>
    </row>
    <row r="53" spans="1:7">
      <c r="A53" s="14">
        <v>52</v>
      </c>
      <c r="B53" s="6" t="s">
        <v>233</v>
      </c>
      <c r="C53" s="6" t="s">
        <v>179</v>
      </c>
      <c r="D53" s="6" t="s">
        <v>8</v>
      </c>
      <c r="E53" t="s">
        <v>114</v>
      </c>
      <c r="F53" t="str">
        <f>VLOOKUP(E53,'MuleApps&lt;=&gt;MuleIntegrations'!B:C,2,FALSE)</f>
        <v>MUL-SALESORDERS</v>
      </c>
      <c r="G53" t="str">
        <f>VLOOKUP(E53,'MuleApps&lt;=&gt;MuleIntegrations'!B:D,3,FALSE)</f>
        <v>API</v>
      </c>
    </row>
    <row r="54" spans="1:7">
      <c r="A54" s="14">
        <v>53</v>
      </c>
      <c r="B54" s="6" t="s">
        <v>234</v>
      </c>
      <c r="C54" s="6" t="s">
        <v>179</v>
      </c>
      <c r="D54" s="6" t="s">
        <v>8</v>
      </c>
      <c r="E54" t="s">
        <v>117</v>
      </c>
      <c r="F54" t="str">
        <f>VLOOKUP(E54,'MuleApps&lt;=&gt;MuleIntegrations'!B:C,2,FALSE)</f>
        <v>MUL-INBOUND-QUOTES</v>
      </c>
      <c r="G54" t="str">
        <f>VLOOKUP(E54,'MuleApps&lt;=&gt;MuleIntegrations'!B:D,3,FALSE)</f>
        <v>API</v>
      </c>
    </row>
    <row r="55" spans="1:7">
      <c r="A55" s="14">
        <v>54</v>
      </c>
      <c r="B55" s="6" t="s">
        <v>166</v>
      </c>
      <c r="C55" s="6" t="s">
        <v>179</v>
      </c>
      <c r="D55" s="6" t="s">
        <v>8</v>
      </c>
      <c r="E55" t="s">
        <v>166</v>
      </c>
      <c r="F55" t="str">
        <f>VLOOKUP(E55,'MuleApps&lt;=&gt;MuleIntegrations'!B:C,2,FALSE)</f>
        <v>MUL-ECOMM-PRODUCTFEED</v>
      </c>
      <c r="G55" t="str">
        <f>VLOOKUP(E55,'MuleApps&lt;=&gt;MuleIntegrations'!B:D,3,FALSE)</f>
        <v>API</v>
      </c>
    </row>
    <row r="56" spans="1:7">
      <c r="A56" s="14">
        <v>55</v>
      </c>
      <c r="B56" s="6" t="s">
        <v>235</v>
      </c>
      <c r="C56" s="6" t="s">
        <v>179</v>
      </c>
      <c r="D56" s="6" t="s">
        <v>8</v>
      </c>
      <c r="E56" t="s">
        <v>236</v>
      </c>
      <c r="F56" t="e">
        <f>VLOOKUP(E56,'MuleApps&lt;=&gt;MuleIntegrations'!B:C,2,FALSE)</f>
        <v>#N/A</v>
      </c>
      <c r="G56" t="e">
        <f>VLOOKUP(E56,'MuleApps&lt;=&gt;MuleIntegrations'!B:D,3,FALSE)</f>
        <v>#N/A</v>
      </c>
    </row>
    <row r="57" spans="1:7">
      <c r="A57" s="14">
        <v>56</v>
      </c>
      <c r="B57" s="6" t="s">
        <v>237</v>
      </c>
      <c r="C57" s="6" t="s">
        <v>179</v>
      </c>
      <c r="D57" s="6" t="s">
        <v>8</v>
      </c>
      <c r="E57" t="s">
        <v>48</v>
      </c>
      <c r="F57" t="str">
        <f>VLOOKUP(E57,'MuleApps&lt;=&gt;MuleIntegrations'!B:C,2,FALSE)</f>
        <v>MUL-TRIPDATA</v>
      </c>
      <c r="G57" t="str">
        <f>VLOOKUP(E57,'MuleApps&lt;=&gt;MuleIntegrations'!B:D,3,FALSE)</f>
        <v>API</v>
      </c>
    </row>
    <row r="58" spans="1:7">
      <c r="A58" s="14">
        <v>57</v>
      </c>
      <c r="B58" s="6" t="s">
        <v>238</v>
      </c>
      <c r="C58" s="6" t="s">
        <v>179</v>
      </c>
      <c r="D58" s="6" t="s">
        <v>8</v>
      </c>
      <c r="E58" t="s">
        <v>51</v>
      </c>
      <c r="F58" t="str">
        <f>VLOOKUP(E58,'MuleApps&lt;=&gt;MuleIntegrations'!B:C,2,FALSE)</f>
        <v>MUL-SWIFT6-TRANSPORT</v>
      </c>
      <c r="G58" t="str">
        <f>VLOOKUP(E58,'MuleApps&lt;=&gt;MuleIntegrations'!B:D,3,FALSE)</f>
        <v>Mixed</v>
      </c>
    </row>
    <row r="59" spans="1:7">
      <c r="A59" s="14">
        <v>58</v>
      </c>
      <c r="B59" s="6" t="s">
        <v>239</v>
      </c>
      <c r="C59" s="6" t="s">
        <v>179</v>
      </c>
      <c r="D59" s="6" t="s">
        <v>8</v>
      </c>
      <c r="E59" t="s">
        <v>45</v>
      </c>
      <c r="F59" t="str">
        <f>VLOOKUP(E59,'MuleApps&lt;=&gt;MuleIntegrations'!B:C,2,FALSE)</f>
        <v>MUL-FLEETWAVE-ICON-COGNITO</v>
      </c>
      <c r="G59" t="str">
        <f>VLOOKUP(E59,'MuleApps&lt;=&gt;MuleIntegrations'!B:D,3,FALSE)</f>
        <v>Mixed</v>
      </c>
    </row>
    <row r="60" spans="1:7">
      <c r="A60" s="14">
        <v>59</v>
      </c>
      <c r="B60" s="6" t="s">
        <v>240</v>
      </c>
      <c r="C60" s="6" t="s">
        <v>179</v>
      </c>
      <c r="D60" s="6" t="s">
        <v>8</v>
      </c>
      <c r="E60" t="s">
        <v>44</v>
      </c>
      <c r="F60" t="str">
        <f>VLOOKUP(E60,'MuleApps&lt;=&gt;MuleIntegrations'!B:C,2,FALSE)</f>
        <v>MUL-FLEETWAVE-ICON-COGNITO</v>
      </c>
      <c r="G60" t="str">
        <f>VLOOKUP(E60,'MuleApps&lt;=&gt;MuleIntegrations'!B:D,3,FALSE)</f>
        <v>Mixed</v>
      </c>
    </row>
    <row r="61" spans="1:7">
      <c r="A61" s="14">
        <v>60</v>
      </c>
      <c r="B61" s="6" t="s">
        <v>241</v>
      </c>
      <c r="C61" s="6" t="s">
        <v>179</v>
      </c>
      <c r="D61" s="6" t="s">
        <v>8</v>
      </c>
      <c r="E61" t="s">
        <v>53</v>
      </c>
      <c r="F61" t="str">
        <f>VLOOKUP(E61,'MuleApps&lt;=&gt;MuleIntegrations'!B:C,2,FALSE)</f>
        <v>MUL-ICERTIS</v>
      </c>
      <c r="G61" t="str">
        <f>VLOOKUP(E61,'MuleApps&lt;=&gt;MuleIntegrations'!B:D,3,FALSE)</f>
        <v>File Transfer</v>
      </c>
    </row>
    <row r="62" spans="1:7">
      <c r="A62" s="14">
        <v>61</v>
      </c>
      <c r="B62" s="6" t="s">
        <v>242</v>
      </c>
      <c r="C62" s="6" t="s">
        <v>179</v>
      </c>
      <c r="D62" s="6" t="s">
        <v>8</v>
      </c>
      <c r="E62" t="s">
        <v>80</v>
      </c>
      <c r="F62" t="str">
        <f>VLOOKUP(E62,'MuleApps&lt;=&gt;MuleIntegrations'!B:C,2,FALSE)</f>
        <v>MUL-BACS-FILES</v>
      </c>
      <c r="G62" t="str">
        <f>VLOOKUP(E62,'MuleApps&lt;=&gt;MuleIntegrations'!B:D,3,FALSE)</f>
        <v>File Transfer</v>
      </c>
    </row>
    <row r="63" spans="1:7">
      <c r="A63" s="14">
        <v>62</v>
      </c>
      <c r="B63" s="6" t="s">
        <v>243</v>
      </c>
      <c r="C63" s="6" t="s">
        <v>179</v>
      </c>
      <c r="D63" s="6" t="s">
        <v>8</v>
      </c>
      <c r="E63" t="s">
        <v>97</v>
      </c>
      <c r="F63" t="str">
        <f>VLOOKUP(E63,'MuleApps&lt;=&gt;MuleIntegrations'!B:C,2,FALSE)</f>
        <v>MUL-LABLEFILES</v>
      </c>
      <c r="G63" t="str">
        <f>VLOOKUP(E63,'MuleApps&lt;=&gt;MuleIntegrations'!B:D,3,FALSE)</f>
        <v>File Transfer</v>
      </c>
    </row>
    <row r="64" spans="1:7">
      <c r="A64" s="14">
        <v>63</v>
      </c>
      <c r="B64" s="6" t="s">
        <v>244</v>
      </c>
      <c r="C64" s="6" t="s">
        <v>179</v>
      </c>
      <c r="D64" s="6" t="s">
        <v>8</v>
      </c>
      <c r="E64" t="s">
        <v>42</v>
      </c>
      <c r="F64" t="str">
        <f>VLOOKUP(E64,'MuleApps&lt;=&gt;MuleIntegrations'!B:C,2,FALSE)</f>
        <v>MUL-TIMBERDATABASE</v>
      </c>
      <c r="G64" t="str">
        <f>VLOOKUP(E64,'MuleApps&lt;=&gt;MuleIntegrations'!B:D,3,FALSE)</f>
        <v>File Transfer</v>
      </c>
    </row>
    <row r="65" spans="1:7">
      <c r="A65" s="14">
        <v>64</v>
      </c>
      <c r="B65" s="6" t="s">
        <v>245</v>
      </c>
      <c r="C65" s="6" t="s">
        <v>179</v>
      </c>
      <c r="D65" s="6" t="s">
        <v>8</v>
      </c>
      <c r="E65" t="s">
        <v>63</v>
      </c>
      <c r="F65" t="str">
        <f>VLOOKUP(E65,'MuleApps&lt;=&gt;MuleIntegrations'!B:C,2,FALSE)</f>
        <v>MUL-TRUECOMMERCE</v>
      </c>
      <c r="G65" t="str">
        <f>VLOOKUP(E65,'MuleApps&lt;=&gt;MuleIntegrations'!B:D,3,FALSE)</f>
        <v>File Transfer</v>
      </c>
    </row>
    <row r="66" spans="1:7">
      <c r="A66" s="14">
        <v>65</v>
      </c>
      <c r="B66" s="6" t="s">
        <v>246</v>
      </c>
      <c r="C66" s="6" t="s">
        <v>179</v>
      </c>
      <c r="D66" s="6" t="s">
        <v>8</v>
      </c>
      <c r="E66" t="s">
        <v>247</v>
      </c>
      <c r="F66" t="e">
        <f>VLOOKUP(E66,'MuleApps&lt;=&gt;MuleIntegrations'!B:C,2,FALSE)</f>
        <v>#N/A</v>
      </c>
      <c r="G66" t="e">
        <f>VLOOKUP(E66,'MuleApps&lt;=&gt;MuleIntegrations'!B:D,3,FALSE)</f>
        <v>#N/A</v>
      </c>
    </row>
    <row r="67" spans="1:7">
      <c r="A67" s="14">
        <v>66</v>
      </c>
      <c r="B67" s="6" t="s">
        <v>248</v>
      </c>
      <c r="C67" s="6" t="s">
        <v>179</v>
      </c>
      <c r="D67" s="6" t="s">
        <v>8</v>
      </c>
      <c r="E67" t="s">
        <v>10</v>
      </c>
      <c r="F67" t="str">
        <f>VLOOKUP(E67,'MuleApps&lt;=&gt;MuleIntegrations'!B:C,2,FALSE)</f>
        <v>MUL-CONSOLIDATEDINVOICE</v>
      </c>
      <c r="G67" t="str">
        <f>VLOOKUP(E67,'MuleApps&lt;=&gt;MuleIntegrations'!B:D,3,FALSE)</f>
        <v>Mixed</v>
      </c>
    </row>
    <row r="68" spans="1:7">
      <c r="A68" s="14">
        <v>67</v>
      </c>
      <c r="B68" s="6" t="s">
        <v>249</v>
      </c>
      <c r="C68" s="6" t="s">
        <v>179</v>
      </c>
      <c r="D68" s="6" t="s">
        <v>8</v>
      </c>
      <c r="E68" t="s">
        <v>250</v>
      </c>
      <c r="F68" t="e">
        <f>VLOOKUP(E68,'MuleApps&lt;=&gt;MuleIntegrations'!B:C,2,FALSE)</f>
        <v>#N/A</v>
      </c>
      <c r="G68" t="e">
        <f>VLOOKUP(E68,'MuleApps&lt;=&gt;MuleIntegrations'!B:D,3,FALSE)</f>
        <v>#N/A</v>
      </c>
    </row>
    <row r="69" spans="1:7">
      <c r="A69" s="14">
        <v>68</v>
      </c>
      <c r="B69" s="6" t="s">
        <v>251</v>
      </c>
      <c r="C69" s="6" t="s">
        <v>179</v>
      </c>
      <c r="D69" s="6" t="s">
        <v>8</v>
      </c>
      <c r="E69" t="s">
        <v>252</v>
      </c>
      <c r="F69" t="e">
        <f>VLOOKUP(E69,'MuleApps&lt;=&gt;MuleIntegrations'!B:C,2,FALSE)</f>
        <v>#N/A</v>
      </c>
      <c r="G69" t="e">
        <f>VLOOKUP(E69,'MuleApps&lt;=&gt;MuleIntegrations'!B:D,3,FALSE)</f>
        <v>#N/A</v>
      </c>
    </row>
    <row r="70" spans="1:7">
      <c r="A70" s="14">
        <v>69</v>
      </c>
      <c r="B70" s="6" t="s">
        <v>253</v>
      </c>
      <c r="C70" s="6" t="s">
        <v>179</v>
      </c>
      <c r="D70" s="6" t="s">
        <v>8</v>
      </c>
      <c r="E70" t="s">
        <v>254</v>
      </c>
      <c r="F70" t="e">
        <f>VLOOKUP(E70,'MuleApps&lt;=&gt;MuleIntegrations'!B:C,2,FALSE)</f>
        <v>#N/A</v>
      </c>
      <c r="G70" t="e">
        <f>VLOOKUP(E70,'MuleApps&lt;=&gt;MuleIntegrations'!B:D,3,FALSE)</f>
        <v>#N/A</v>
      </c>
    </row>
    <row r="71" spans="1:7">
      <c r="A71" s="14">
        <v>70</v>
      </c>
      <c r="B71" s="6" t="s">
        <v>255</v>
      </c>
      <c r="C71" s="6" t="s">
        <v>179</v>
      </c>
      <c r="D71" s="6" t="s">
        <v>8</v>
      </c>
      <c r="E71" t="s">
        <v>93</v>
      </c>
      <c r="F71" t="str">
        <f>VLOOKUP(E71,'MuleApps&lt;=&gt;MuleIntegrations'!B:C,2,FALSE)</f>
        <v>MUL-SWISSPOST</v>
      </c>
      <c r="G71" t="str">
        <f>VLOOKUP(E71,'MuleApps&lt;=&gt;MuleIntegrations'!B:D,3,FALSE)</f>
        <v>File Transfer</v>
      </c>
    </row>
    <row r="72" spans="1:7">
      <c r="A72" s="14">
        <v>71</v>
      </c>
      <c r="B72" s="6" t="s">
        <v>256</v>
      </c>
      <c r="C72" s="6" t="s">
        <v>185</v>
      </c>
      <c r="D72" s="6" t="s">
        <v>8</v>
      </c>
      <c r="E72" t="s">
        <v>37</v>
      </c>
      <c r="F72" t="str">
        <f>VLOOKUP(E72,'MuleApps&lt;=&gt;MuleIntegrations'!B:C,2,FALSE)</f>
        <v>MUL-ACCOUNT-VALIDATION</v>
      </c>
      <c r="G72" t="str">
        <f>VLOOKUP(E72,'MuleApps&lt;=&gt;MuleIntegrations'!B:D,3,FALSE)</f>
        <v>Mixed</v>
      </c>
    </row>
    <row r="73" spans="1:7">
      <c r="A73" s="14">
        <v>72</v>
      </c>
      <c r="B73" s="6" t="s">
        <v>257</v>
      </c>
      <c r="C73" s="6" t="s">
        <v>185</v>
      </c>
      <c r="D73" s="6" t="s">
        <v>8</v>
      </c>
      <c r="E73" t="s">
        <v>160</v>
      </c>
      <c r="F73" t="str">
        <f>VLOOKUP(E73,'MuleApps&lt;=&gt;MuleIntegrations'!B:C,2,FALSE)</f>
        <v>MUL-PRODUCT-CLASSIFICATION</v>
      </c>
      <c r="G73" t="str">
        <f>VLOOKUP(E73,'MuleApps&lt;=&gt;MuleIntegrations'!B:D,3,FALSE)</f>
        <v>API</v>
      </c>
    </row>
    <row r="74" spans="1:7">
      <c r="A74" s="14">
        <v>73</v>
      </c>
      <c r="B74" s="6" t="s">
        <v>258</v>
      </c>
      <c r="C74" s="6" t="s">
        <v>179</v>
      </c>
      <c r="D74" s="6" t="s">
        <v>8</v>
      </c>
      <c r="E74" t="s">
        <v>74</v>
      </c>
      <c r="F74" t="str">
        <f>VLOOKUP(E74,'MuleApps&lt;=&gt;MuleIntegrations'!B:C,2,FALSE)</f>
        <v>MUL-PRODUCT-FEED</v>
      </c>
      <c r="G74" t="str">
        <f>VLOOKUP(E74,'MuleApps&lt;=&gt;MuleIntegrations'!B:D,3,FALSE)</f>
        <v>Mixed</v>
      </c>
    </row>
    <row r="75" spans="1:7">
      <c r="A75" s="14">
        <v>74</v>
      </c>
      <c r="B75" s="6" t="s">
        <v>259</v>
      </c>
      <c r="C75" s="6" t="s">
        <v>179</v>
      </c>
      <c r="D75" s="6" t="s">
        <v>8</v>
      </c>
      <c r="E75" t="s">
        <v>260</v>
      </c>
      <c r="F75" t="e">
        <f>VLOOKUP(E75,'MuleApps&lt;=&gt;MuleIntegrations'!B:C,2,FALSE)</f>
        <v>#N/A</v>
      </c>
      <c r="G75" t="e">
        <f>VLOOKUP(E75,'MuleApps&lt;=&gt;MuleIntegrations'!B:D,3,FALSE)</f>
        <v>#N/A</v>
      </c>
    </row>
    <row r="76" spans="1:7">
      <c r="A76" s="14">
        <v>75</v>
      </c>
      <c r="B76" s="6" t="s">
        <v>261</v>
      </c>
      <c r="C76" s="6" t="s">
        <v>179</v>
      </c>
      <c r="D76" s="6" t="s">
        <v>8</v>
      </c>
      <c r="E76" t="s">
        <v>262</v>
      </c>
      <c r="F76" t="e">
        <f>VLOOKUP(E76,'MuleApps&lt;=&gt;MuleIntegrations'!B:C,2,FALSE)</f>
        <v>#N/A</v>
      </c>
      <c r="G76" t="e">
        <f>VLOOKUP(E76,'MuleApps&lt;=&gt;MuleIntegrations'!B:D,3,FALSE)</f>
        <v>#N/A</v>
      </c>
    </row>
    <row r="77" spans="1:7">
      <c r="A77" s="14">
        <v>76</v>
      </c>
      <c r="B77" s="6" t="s">
        <v>263</v>
      </c>
      <c r="C77" s="6" t="s">
        <v>179</v>
      </c>
      <c r="D77" s="6" t="s">
        <v>8</v>
      </c>
      <c r="E77" t="s">
        <v>105</v>
      </c>
      <c r="F77" t="str">
        <f>VLOOKUP(E77,'MuleApps&lt;=&gt;MuleIntegrations'!B:C,2,FALSE)</f>
        <v>MUL-PUNCHOUT</v>
      </c>
      <c r="G77" t="str">
        <f>VLOOKUP(E77,'MuleApps&lt;=&gt;MuleIntegrations'!B:D,3,FALSE)</f>
        <v>API</v>
      </c>
    </row>
    <row r="78" spans="1:7">
      <c r="A78" s="14">
        <v>77</v>
      </c>
      <c r="B78" s="6" t="s">
        <v>264</v>
      </c>
      <c r="C78" s="6" t="s">
        <v>179</v>
      </c>
      <c r="D78" s="6" t="s">
        <v>8</v>
      </c>
      <c r="E78" t="s">
        <v>156</v>
      </c>
      <c r="F78" t="str">
        <f>VLOOKUP(E78,'MuleApps&lt;=&gt;MuleIntegrations'!B:C,2,FALSE)</f>
        <v>MUL-CONSENT</v>
      </c>
      <c r="G78" t="str">
        <f>VLOOKUP(E78,'MuleApps&lt;=&gt;MuleIntegrations'!B:D,3,FALSE)</f>
        <v>Mixed</v>
      </c>
    </row>
    <row r="79" spans="1:7">
      <c r="A79" s="14">
        <v>78</v>
      </c>
      <c r="B79" s="6" t="s">
        <v>265</v>
      </c>
      <c r="C79" s="6" t="s">
        <v>179</v>
      </c>
      <c r="D79" s="6" t="s">
        <v>8</v>
      </c>
      <c r="E79" t="s">
        <v>140</v>
      </c>
      <c r="F79" t="str">
        <f>VLOOKUP(E79,'MuleApps&lt;=&gt;MuleIntegrations'!B:C,2,FALSE)</f>
        <v>MUL-OKTA-SYNC</v>
      </c>
      <c r="G79" t="str">
        <f>VLOOKUP(E79,'MuleApps&lt;=&gt;MuleIntegrations'!B:D,3,FALSE)</f>
        <v>API</v>
      </c>
    </row>
    <row r="80" spans="1:7">
      <c r="A80" s="14">
        <v>79</v>
      </c>
      <c r="B80" s="6" t="s">
        <v>266</v>
      </c>
      <c r="C80" s="6" t="s">
        <v>179</v>
      </c>
      <c r="D80" s="6" t="s">
        <v>8</v>
      </c>
      <c r="E80" t="s">
        <v>141</v>
      </c>
      <c r="F80" t="str">
        <f>VLOOKUP(E80,'MuleApps&lt;=&gt;MuleIntegrations'!B:C,2,FALSE)</f>
        <v>MUL-OKTA-SYNC</v>
      </c>
      <c r="G80" t="str">
        <f>VLOOKUP(E80,'MuleApps&lt;=&gt;MuleIntegrations'!B:D,3,FALSE)</f>
        <v>API</v>
      </c>
    </row>
    <row r="81" spans="1:7">
      <c r="A81" s="14">
        <v>80</v>
      </c>
      <c r="B81" s="6" t="s">
        <v>267</v>
      </c>
      <c r="C81" s="6" t="s">
        <v>179</v>
      </c>
      <c r="D81" s="6" t="s">
        <v>8</v>
      </c>
      <c r="E81" t="s">
        <v>110</v>
      </c>
      <c r="F81" t="str">
        <f>VLOOKUP(E81,'MuleApps&lt;=&gt;MuleIntegrations'!B:C,2,FALSE)</f>
        <v>MUL-PRODUCTS</v>
      </c>
      <c r="G81" t="str">
        <f>VLOOKUP(E81,'MuleApps&lt;=&gt;MuleIntegrations'!B:D,3,FALSE)</f>
        <v>API</v>
      </c>
    </row>
    <row r="82" spans="1:7">
      <c r="A82" s="14">
        <v>81</v>
      </c>
      <c r="B82" s="6" t="s">
        <v>268</v>
      </c>
      <c r="C82" s="6" t="s">
        <v>179</v>
      </c>
      <c r="D82" s="6" t="s">
        <v>8</v>
      </c>
      <c r="E82" t="s">
        <v>87</v>
      </c>
      <c r="F82" t="str">
        <f>VLOOKUP(E82,'MuleApps&lt;=&gt;MuleIntegrations'!B:C,2,FALSE)</f>
        <v>MUL-SUPPLIER-OCR</v>
      </c>
      <c r="G82" t="str">
        <f>VLOOKUP(E82,'MuleApps&lt;=&gt;MuleIntegrations'!B:D,3,FALSE)</f>
        <v>File Transfer</v>
      </c>
    </row>
    <row r="83" spans="1:7">
      <c r="A83" s="14">
        <v>82</v>
      </c>
      <c r="B83" s="6" t="s">
        <v>269</v>
      </c>
      <c r="C83" s="6" t="s">
        <v>179</v>
      </c>
      <c r="D83" s="6" t="s">
        <v>8</v>
      </c>
      <c r="E83" t="s">
        <v>86</v>
      </c>
      <c r="F83" t="str">
        <f>VLOOKUP(E83,'MuleApps&lt;=&gt;MuleIntegrations'!B:C,2,FALSE)</f>
        <v>MUL-SUPPLIER-OCR</v>
      </c>
      <c r="G83" t="str">
        <f>VLOOKUP(E83,'MuleApps&lt;=&gt;MuleIntegrations'!B:D,3,FALSE)</f>
        <v>File Transfer</v>
      </c>
    </row>
    <row r="84" spans="1:7">
      <c r="A84" s="14">
        <v>83</v>
      </c>
      <c r="B84" s="6" t="s">
        <v>270</v>
      </c>
      <c r="C84" s="6" t="s">
        <v>179</v>
      </c>
      <c r="D84" s="6" t="s">
        <v>8</v>
      </c>
      <c r="E84" t="s">
        <v>161</v>
      </c>
      <c r="F84" t="str">
        <f>VLOOKUP(E84,'MuleApps&lt;=&gt;MuleIntegrations'!B:C,2,FALSE)</f>
        <v>MUL-PRODUCT-CLASSIFICATION</v>
      </c>
      <c r="G84" t="str">
        <f>VLOOKUP(E84,'MuleApps&lt;=&gt;MuleIntegrations'!B:D,3,FALSE)</f>
        <v>API</v>
      </c>
    </row>
    <row r="85" spans="1:7">
      <c r="A85" s="14">
        <v>84</v>
      </c>
      <c r="B85" s="6" t="s">
        <v>271</v>
      </c>
      <c r="C85" s="6" t="s">
        <v>179</v>
      </c>
      <c r="D85" s="6" t="s">
        <v>8</v>
      </c>
      <c r="E85" t="s">
        <v>272</v>
      </c>
      <c r="F85" t="e">
        <f>VLOOKUP(E85,'MuleApps&lt;=&gt;MuleIntegrations'!B:C,2,FALSE)</f>
        <v>#N/A</v>
      </c>
      <c r="G85" t="e">
        <f>VLOOKUP(E85,'MuleApps&lt;=&gt;MuleIntegrations'!B:D,3,FALSE)</f>
        <v>#N/A</v>
      </c>
    </row>
    <row r="86" spans="1:7">
      <c r="A86" s="14">
        <v>85</v>
      </c>
      <c r="B86" s="6" t="s">
        <v>273</v>
      </c>
      <c r="C86" s="6" t="s">
        <v>179</v>
      </c>
      <c r="D86" s="6" t="s">
        <v>8</v>
      </c>
      <c r="E86" t="s">
        <v>149</v>
      </c>
      <c r="F86" t="str">
        <f>VLOOKUP(E86,'MuleApps&lt;=&gt;MuleIntegrations'!B:C,2,FALSE)</f>
        <v>MUL-SALES-PIPELINE</v>
      </c>
      <c r="G86" t="str">
        <f>VLOOKUP(E86,'MuleApps&lt;=&gt;MuleIntegrations'!B:D,3,FALSE)</f>
        <v>Mixed</v>
      </c>
    </row>
    <row r="87" spans="1:7">
      <c r="A87" s="14">
        <v>86</v>
      </c>
      <c r="B87" s="6" t="s">
        <v>20</v>
      </c>
      <c r="C87" s="6" t="s">
        <v>179</v>
      </c>
      <c r="D87" s="6" t="s">
        <v>8</v>
      </c>
      <c r="E87" t="s">
        <v>20</v>
      </c>
      <c r="F87" t="str">
        <f>VLOOKUP(E87,'MuleApps&lt;=&gt;MuleIntegrations'!B:C,2,FALSE)</f>
        <v>MUL-DIGITALASSET</v>
      </c>
      <c r="G87" t="str">
        <f>VLOOKUP(E87,'MuleApps&lt;=&gt;MuleIntegrations'!B:D,3,FALSE)</f>
        <v>API</v>
      </c>
    </row>
    <row r="88" spans="1:7">
      <c r="A88" s="14">
        <v>87</v>
      </c>
      <c r="B88" s="6" t="s">
        <v>274</v>
      </c>
      <c r="C88" s="6" t="s">
        <v>179</v>
      </c>
      <c r="D88" s="6" t="s">
        <v>8</v>
      </c>
      <c r="E88" t="s">
        <v>19</v>
      </c>
      <c r="F88" t="str">
        <f>VLOOKUP(E88,'MuleApps&lt;=&gt;MuleIntegrations'!B:C,2,FALSE)</f>
        <v>MUL-DIGITALASSET</v>
      </c>
      <c r="G88" t="str">
        <f>VLOOKUP(E88,'MuleApps&lt;=&gt;MuleIntegrations'!B:D,3,FALSE)</f>
        <v>API</v>
      </c>
    </row>
    <row r="89" spans="1:7">
      <c r="A89" s="14">
        <v>88</v>
      </c>
      <c r="B89" s="6" t="s">
        <v>275</v>
      </c>
      <c r="C89" s="6" t="s">
        <v>179</v>
      </c>
      <c r="D89" s="6" t="s">
        <v>8</v>
      </c>
      <c r="E89" t="s">
        <v>138</v>
      </c>
      <c r="F89" t="str">
        <f>VLOOKUP(E89,'MuleApps&lt;=&gt;MuleIntegrations'!B:C,2,FALSE)</f>
        <v>MUL-OKTA-SYNC</v>
      </c>
      <c r="G89" t="str">
        <f>VLOOKUP(E89,'MuleApps&lt;=&gt;MuleIntegrations'!B:D,3,FALSE)</f>
        <v>API</v>
      </c>
    </row>
    <row r="90" spans="1:7">
      <c r="A90" s="14">
        <v>89</v>
      </c>
      <c r="B90" s="6" t="s">
        <v>276</v>
      </c>
      <c r="C90" s="6" t="s">
        <v>179</v>
      </c>
      <c r="D90" s="6" t="s">
        <v>8</v>
      </c>
      <c r="E90" t="s">
        <v>55</v>
      </c>
      <c r="F90" t="str">
        <f>VLOOKUP(E90,'MuleApps&lt;=&gt;MuleIntegrations'!B:C,2,FALSE)</f>
        <v>MUL-ICERTIS</v>
      </c>
      <c r="G90" t="str">
        <f>VLOOKUP(E90,'MuleApps&lt;=&gt;MuleIntegrations'!B:D,3,FALSE)</f>
        <v>File Transfer</v>
      </c>
    </row>
    <row r="91" spans="1:7">
      <c r="A91" s="14">
        <v>90</v>
      </c>
      <c r="B91" s="6" t="s">
        <v>277</v>
      </c>
      <c r="C91" s="6" t="s">
        <v>179</v>
      </c>
      <c r="D91" s="6" t="s">
        <v>8</v>
      </c>
      <c r="E91" t="s">
        <v>278</v>
      </c>
      <c r="F91" t="e">
        <f>VLOOKUP(E91,'MuleApps&lt;=&gt;MuleIntegrations'!B:C,2,FALSE)</f>
        <v>#N/A</v>
      </c>
      <c r="G91" t="e">
        <f>VLOOKUP(E91,'MuleApps&lt;=&gt;MuleIntegrations'!B:D,3,FALSE)</f>
        <v>#N/A</v>
      </c>
    </row>
    <row r="92" spans="1:7">
      <c r="A92" s="14">
        <v>91</v>
      </c>
      <c r="B92" s="6" t="s">
        <v>279</v>
      </c>
      <c r="C92" s="6" t="s">
        <v>179</v>
      </c>
      <c r="D92" s="6" t="s">
        <v>8</v>
      </c>
      <c r="E92" t="s">
        <v>170</v>
      </c>
      <c r="F92" t="str">
        <f>VLOOKUP(E92,'MuleApps&lt;=&gt;MuleIntegrations'!B:C,2,FALSE)</f>
        <v>MUL-CHEVIN-TO-TRAKM8</v>
      </c>
      <c r="G92" t="str">
        <f>VLOOKUP(E92,'MuleApps&lt;=&gt;MuleIntegrations'!B:D,3,FALSE)</f>
        <v>File Transfer</v>
      </c>
    </row>
    <row r="93" spans="1:7">
      <c r="A93" s="14">
        <v>92</v>
      </c>
      <c r="B93" s="6" t="s">
        <v>280</v>
      </c>
      <c r="C93" s="6" t="s">
        <v>179</v>
      </c>
      <c r="D93" s="6" t="s">
        <v>8</v>
      </c>
      <c r="E93" t="s">
        <v>174</v>
      </c>
      <c r="F93" t="str">
        <f>VLOOKUP(E93,'MuleApps&lt;=&gt;MuleIntegrations'!B:C,2,FALSE)</f>
        <v>MUL-CONCUR</v>
      </c>
      <c r="G93" t="str">
        <f>VLOOKUP(E93,'MuleApps&lt;=&gt;MuleIntegrations'!B:D,3,FALSE)</f>
        <v>Mixed</v>
      </c>
    </row>
    <row r="94" spans="1:7">
      <c r="A94" s="14">
        <v>93</v>
      </c>
      <c r="B94" s="6" t="s">
        <v>281</v>
      </c>
      <c r="C94" s="6" t="s">
        <v>185</v>
      </c>
      <c r="D94" s="6" t="s">
        <v>8</v>
      </c>
      <c r="E94" t="s">
        <v>282</v>
      </c>
      <c r="F94" t="e">
        <f>VLOOKUP(E94,'MuleApps&lt;=&gt;MuleIntegrations'!B:C,2,FALSE)</f>
        <v>#N/A</v>
      </c>
      <c r="G94" t="e">
        <f>VLOOKUP(E94,'MuleApps&lt;=&gt;MuleIntegrations'!B:D,3,FALSE)</f>
        <v>#N/A</v>
      </c>
    </row>
    <row r="95" spans="1:7">
      <c r="A95" s="14">
        <v>94</v>
      </c>
      <c r="B95" s="6" t="s">
        <v>283</v>
      </c>
      <c r="C95" s="6" t="s">
        <v>179</v>
      </c>
      <c r="D95" s="6" t="s">
        <v>8</v>
      </c>
      <c r="E95" t="s">
        <v>153</v>
      </c>
      <c r="F95" t="str">
        <f>VLOOKUP(E95,'MuleApps&lt;=&gt;MuleIntegrations'!B:C,2,FALSE)</f>
        <v>MUL-CONSENT</v>
      </c>
      <c r="G95" t="str">
        <f>VLOOKUP(E95,'MuleApps&lt;=&gt;MuleIntegrations'!B:D,3,FALSE)</f>
        <v>Mixed</v>
      </c>
    </row>
    <row r="96" spans="1:7">
      <c r="A96" s="14">
        <v>95</v>
      </c>
      <c r="B96" s="6" t="s">
        <v>284</v>
      </c>
      <c r="C96" s="6" t="s">
        <v>179</v>
      </c>
      <c r="D96" s="6" t="s">
        <v>8</v>
      </c>
      <c r="E96" t="s">
        <v>139</v>
      </c>
      <c r="F96" t="str">
        <f>VLOOKUP(E96,'MuleApps&lt;=&gt;MuleIntegrations'!B:C,2,FALSE)</f>
        <v>MUL-OKTA-SYNC</v>
      </c>
      <c r="G96" t="str">
        <f>VLOOKUP(E96,'MuleApps&lt;=&gt;MuleIntegrations'!B:D,3,FALSE)</f>
        <v>API</v>
      </c>
    </row>
    <row r="97" spans="1:7">
      <c r="A97" s="14">
        <v>96</v>
      </c>
      <c r="B97" s="6" t="s">
        <v>285</v>
      </c>
      <c r="C97" s="6" t="s">
        <v>179</v>
      </c>
      <c r="D97" s="6" t="s">
        <v>8</v>
      </c>
      <c r="E97" t="s">
        <v>142</v>
      </c>
      <c r="F97" t="str">
        <f>VLOOKUP(E97,'MuleApps&lt;=&gt;MuleIntegrations'!B:C,2,FALSE)</f>
        <v>MUL-OKTA-SYNC</v>
      </c>
      <c r="G97" t="str">
        <f>VLOOKUP(E97,'MuleApps&lt;=&gt;MuleIntegrations'!B:D,3,FALSE)</f>
        <v>API</v>
      </c>
    </row>
    <row r="98" spans="1:7">
      <c r="A98" s="14">
        <v>97</v>
      </c>
      <c r="B98" s="6" t="s">
        <v>286</v>
      </c>
      <c r="C98" s="6" t="s">
        <v>179</v>
      </c>
      <c r="D98" s="6" t="s">
        <v>8</v>
      </c>
      <c r="E98" t="s">
        <v>150</v>
      </c>
      <c r="F98" t="str">
        <f>VLOOKUP(E98,'MuleApps&lt;=&gt;MuleIntegrations'!B:C,2,FALSE)</f>
        <v>MUL-SALES-PIPELINE</v>
      </c>
      <c r="G98" t="str">
        <f>VLOOKUP(E98,'MuleApps&lt;=&gt;MuleIntegrations'!B:D,3,FALSE)</f>
        <v>Mixed</v>
      </c>
    </row>
    <row r="99" spans="1:7">
      <c r="A99" s="14">
        <v>98</v>
      </c>
      <c r="B99" s="6" t="s">
        <v>287</v>
      </c>
      <c r="C99" s="6" t="s">
        <v>179</v>
      </c>
      <c r="D99" s="6" t="s">
        <v>8</v>
      </c>
      <c r="E99" t="s">
        <v>54</v>
      </c>
      <c r="F99" t="str">
        <f>VLOOKUP(E99,'MuleApps&lt;=&gt;MuleIntegrations'!B:C,2,FALSE)</f>
        <v>MUL-ICERTIS</v>
      </c>
      <c r="G99" t="str">
        <f>VLOOKUP(E99,'MuleApps&lt;=&gt;MuleIntegrations'!B:D,3,FALSE)</f>
        <v>File Transfer</v>
      </c>
    </row>
    <row r="100" spans="1:7">
      <c r="A100" s="14">
        <v>99</v>
      </c>
      <c r="B100" s="6" t="s">
        <v>288</v>
      </c>
      <c r="C100" s="6" t="s">
        <v>179</v>
      </c>
      <c r="D100" s="6" t="s">
        <v>8</v>
      </c>
      <c r="E100" t="s">
        <v>60</v>
      </c>
      <c r="F100" t="str">
        <f>VLOOKUP(E100,'MuleApps&lt;=&gt;MuleIntegrations'!B:C,2,FALSE)</f>
        <v>MUL-TRUECOMMERCE</v>
      </c>
      <c r="G100" t="str">
        <f>VLOOKUP(E100,'MuleApps&lt;=&gt;MuleIntegrations'!B:D,3,FALSE)</f>
        <v>File Transfer</v>
      </c>
    </row>
    <row r="101" spans="1:7">
      <c r="A101" s="14">
        <v>100</v>
      </c>
      <c r="B101" s="6" t="s">
        <v>289</v>
      </c>
      <c r="C101" s="6" t="s">
        <v>179</v>
      </c>
      <c r="D101" s="6" t="s">
        <v>8</v>
      </c>
      <c r="E101" t="s">
        <v>57</v>
      </c>
      <c r="F101" t="str">
        <f>VLOOKUP(E101,'MuleApps&lt;=&gt;MuleIntegrations'!B:C,2,FALSE)</f>
        <v>MUL-ERP-3rd-PARTY</v>
      </c>
      <c r="G101" t="str">
        <f>VLOOKUP(E101,'MuleApps&lt;=&gt;MuleIntegrations'!B:D,3,FALSE)</f>
        <v>File Transfer</v>
      </c>
    </row>
    <row r="102" spans="1:7">
      <c r="A102" s="14">
        <v>101</v>
      </c>
      <c r="B102" s="6" t="s">
        <v>290</v>
      </c>
      <c r="C102" s="6" t="s">
        <v>179</v>
      </c>
      <c r="D102" s="6" t="s">
        <v>8</v>
      </c>
      <c r="E102" t="s">
        <v>58</v>
      </c>
      <c r="F102" t="str">
        <f>VLOOKUP(E102,'MuleApps&lt;=&gt;MuleIntegrations'!B:C,2,FALSE)</f>
        <v>MUL-ERP-3rd-PARTY</v>
      </c>
      <c r="G102" t="str">
        <f>VLOOKUP(E102,'MuleApps&lt;=&gt;MuleIntegrations'!B:D,3,FALSE)</f>
        <v>File Transfer</v>
      </c>
    </row>
    <row r="103" spans="1:7">
      <c r="A103" s="14">
        <v>102</v>
      </c>
      <c r="B103" s="6" t="s">
        <v>291</v>
      </c>
      <c r="C103" s="6" t="s">
        <v>179</v>
      </c>
      <c r="D103" s="6" t="s">
        <v>8</v>
      </c>
      <c r="E103" t="s">
        <v>30</v>
      </c>
      <c r="F103" t="str">
        <f>VLOOKUP(E103,'MuleApps&lt;=&gt;MuleIntegrations'!B:C,2,FALSE)</f>
        <v>MUL-COLUMBUSFILES</v>
      </c>
      <c r="G103" t="str">
        <f>VLOOKUP(E103,'MuleApps&lt;=&gt;MuleIntegrations'!B:D,3,FALSE)</f>
        <v>File Transfer</v>
      </c>
    </row>
    <row r="104" spans="1:7">
      <c r="A104" s="14">
        <v>103</v>
      </c>
      <c r="B104" s="6" t="s">
        <v>292</v>
      </c>
      <c r="C104" s="6" t="s">
        <v>179</v>
      </c>
      <c r="D104" s="6" t="s">
        <v>8</v>
      </c>
      <c r="E104" t="s">
        <v>11</v>
      </c>
      <c r="F104" t="str">
        <f>VLOOKUP(E104,'MuleApps&lt;=&gt;MuleIntegrations'!B:C,2,FALSE)</f>
        <v>MUL-CONSOLIDATEDINVOICE</v>
      </c>
      <c r="G104" t="str">
        <f>VLOOKUP(E104,'MuleApps&lt;=&gt;MuleIntegrations'!B:D,3,FALSE)</f>
        <v>Mixed</v>
      </c>
    </row>
    <row r="105" spans="1:7">
      <c r="A105" s="14">
        <v>104</v>
      </c>
      <c r="B105" s="6" t="s">
        <v>293</v>
      </c>
      <c r="C105" s="6" t="s">
        <v>179</v>
      </c>
      <c r="D105" s="6" t="s">
        <v>8</v>
      </c>
      <c r="E105" t="s">
        <v>106</v>
      </c>
      <c r="F105" t="str">
        <f>VLOOKUP(E105,'MuleApps&lt;=&gt;MuleIntegrations'!B:C,2,FALSE)</f>
        <v>MUL-PUNCHOUT</v>
      </c>
      <c r="G105" t="str">
        <f>VLOOKUP(E105,'MuleApps&lt;=&gt;MuleIntegrations'!B:D,3,FALSE)</f>
        <v>API</v>
      </c>
    </row>
    <row r="106" spans="1:7">
      <c r="A106" s="14">
        <v>105</v>
      </c>
      <c r="B106" s="6" t="s">
        <v>294</v>
      </c>
      <c r="C106" s="6" t="s">
        <v>179</v>
      </c>
      <c r="D106" s="6" t="s">
        <v>8</v>
      </c>
      <c r="E106" t="s">
        <v>133</v>
      </c>
      <c r="F106" t="str">
        <f>VLOOKUP(E106,'MuleApps&lt;=&gt;MuleIntegrations'!B:C,2,FALSE)</f>
        <v>MUL-DISTRIBUTIONCENTRE</v>
      </c>
      <c r="G106" t="str">
        <f>VLOOKUP(E106,'MuleApps&lt;=&gt;MuleIntegrations'!B:D,3,FALSE)</f>
        <v>File Transfer</v>
      </c>
    </row>
    <row r="107" spans="1:7">
      <c r="A107" s="14">
        <v>106</v>
      </c>
      <c r="B107" s="6" t="s">
        <v>295</v>
      </c>
      <c r="C107" s="6" t="s">
        <v>179</v>
      </c>
      <c r="D107" s="6" t="s">
        <v>8</v>
      </c>
      <c r="E107" t="s">
        <v>62</v>
      </c>
      <c r="F107" t="str">
        <f>VLOOKUP(E107,'MuleApps&lt;=&gt;MuleIntegrations'!B:C,2,FALSE)</f>
        <v>MUL-TRUECOMMERCE</v>
      </c>
      <c r="G107" t="str">
        <f>VLOOKUP(E107,'MuleApps&lt;=&gt;MuleIntegrations'!B:D,3,FALSE)</f>
        <v>File Transfer</v>
      </c>
    </row>
    <row r="108" spans="1:7">
      <c r="A108" s="14">
        <v>107</v>
      </c>
      <c r="B108" s="6" t="s">
        <v>296</v>
      </c>
      <c r="C108" s="6" t="s">
        <v>179</v>
      </c>
      <c r="D108" s="6" t="s">
        <v>8</v>
      </c>
      <c r="E108" t="s">
        <v>95</v>
      </c>
      <c r="F108" t="str">
        <f>VLOOKUP(E108,'MuleApps&lt;=&gt;MuleIntegrations'!B:C,2,FALSE)</f>
        <v>MUL-TIMBERSUPPLIERS</v>
      </c>
      <c r="G108" t="str">
        <f>VLOOKUP(E108,'MuleApps&lt;=&gt;MuleIntegrations'!B:D,3,FALSE)</f>
        <v>Mixed</v>
      </c>
    </row>
    <row r="109" spans="1:7">
      <c r="A109" s="14">
        <v>108</v>
      </c>
      <c r="B109" s="6" t="s">
        <v>297</v>
      </c>
      <c r="C109" s="6" t="s">
        <v>179</v>
      </c>
      <c r="D109" s="6" t="s">
        <v>8</v>
      </c>
      <c r="E109" t="s">
        <v>148</v>
      </c>
      <c r="F109" t="str">
        <f>VLOOKUP(E109,'MuleApps&lt;=&gt;MuleIntegrations'!B:C,2,FALSE)</f>
        <v>MUL-SALES-PIPELINE</v>
      </c>
      <c r="G109" t="str">
        <f>VLOOKUP(E109,'MuleApps&lt;=&gt;MuleIntegrations'!B:D,3,FALSE)</f>
        <v>Mixed</v>
      </c>
    </row>
    <row r="110" spans="1:7">
      <c r="A110" s="14">
        <v>109</v>
      </c>
      <c r="B110" s="6" t="s">
        <v>298</v>
      </c>
      <c r="C110" s="6" t="s">
        <v>179</v>
      </c>
      <c r="D110" s="6" t="s">
        <v>8</v>
      </c>
      <c r="E110" t="s">
        <v>118</v>
      </c>
      <c r="F110" t="str">
        <f>VLOOKUP(E110,'MuleApps&lt;=&gt;MuleIntegrations'!B:C,2,FALSE)</f>
        <v>MUL-INBOUND-QUOTES</v>
      </c>
      <c r="G110" t="str">
        <f>VLOOKUP(E110,'MuleApps&lt;=&gt;MuleIntegrations'!B:D,3,FALSE)</f>
        <v>API</v>
      </c>
    </row>
    <row r="111" spans="1:7">
      <c r="A111" s="14">
        <v>110</v>
      </c>
      <c r="B111" s="6" t="s">
        <v>299</v>
      </c>
      <c r="C111" s="6" t="s">
        <v>179</v>
      </c>
      <c r="D111" s="6" t="s">
        <v>8</v>
      </c>
      <c r="E111" t="s">
        <v>99</v>
      </c>
      <c r="F111" t="str">
        <f>VLOOKUP(E111,'MuleApps&lt;=&gt;MuleIntegrations'!B:C,2,FALSE)</f>
        <v>MUL-MINSTER-NEW-ACCS</v>
      </c>
      <c r="G111" t="str">
        <f>VLOOKUP(E111,'MuleApps&lt;=&gt;MuleIntegrations'!B:D,3,FALSE)</f>
        <v>File Transfer</v>
      </c>
    </row>
    <row r="112" spans="1:7">
      <c r="A112" s="14">
        <v>111</v>
      </c>
      <c r="B112" s="6" t="s">
        <v>300</v>
      </c>
      <c r="C112" s="6" t="s">
        <v>179</v>
      </c>
      <c r="D112" s="6" t="s">
        <v>8</v>
      </c>
      <c r="E112" t="s">
        <v>46</v>
      </c>
      <c r="F112" t="str">
        <f>VLOOKUP(E112,'MuleApps&lt;=&gt;MuleIntegrations'!B:C,2,FALSE)</f>
        <v>MUL-FLEETWAVE-ICON-COGNITO</v>
      </c>
      <c r="G112" t="str">
        <f>VLOOKUP(E112,'MuleApps&lt;=&gt;MuleIntegrations'!B:D,3,FALSE)</f>
        <v>Mixed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9FA5-332E-46FE-851C-410AD732360B}">
  <sheetPr filterMode="1"/>
  <dimension ref="A1:I126"/>
  <sheetViews>
    <sheetView tabSelected="1" topLeftCell="C1" workbookViewId="0">
      <selection activeCell="G123" sqref="G123"/>
    </sheetView>
  </sheetViews>
  <sheetFormatPr defaultColWidth="42" defaultRowHeight="15"/>
  <cols>
    <col min="1" max="1" width="6.140625" bestFit="1" customWidth="1"/>
    <col min="2" max="2" width="37.5703125" bestFit="1" customWidth="1"/>
    <col min="3" max="3" width="81.85546875" bestFit="1" customWidth="1"/>
    <col min="4" max="4" width="40.85546875" bestFit="1" customWidth="1"/>
    <col min="5" max="5" width="12" bestFit="1" customWidth="1"/>
    <col min="6" max="6" width="11.140625" bestFit="1" customWidth="1"/>
  </cols>
  <sheetData>
    <row r="1" spans="1:9" ht="30.75">
      <c r="A1" s="15" t="s">
        <v>0</v>
      </c>
      <c r="B1" s="16" t="s">
        <v>2</v>
      </c>
      <c r="C1" s="16" t="s">
        <v>301</v>
      </c>
      <c r="D1" s="16" t="s">
        <v>302</v>
      </c>
      <c r="E1" s="16" t="s">
        <v>175</v>
      </c>
      <c r="F1" s="17" t="s">
        <v>4</v>
      </c>
      <c r="G1" t="s">
        <v>176</v>
      </c>
      <c r="H1" t="s">
        <v>177</v>
      </c>
      <c r="I1" t="s">
        <v>3</v>
      </c>
    </row>
    <row r="2" spans="1:9" hidden="1">
      <c r="A2" s="14">
        <v>1</v>
      </c>
      <c r="B2" s="13" t="s">
        <v>299</v>
      </c>
      <c r="C2" s="6" t="s">
        <v>303</v>
      </c>
      <c r="D2" s="6" t="s">
        <v>304</v>
      </c>
      <c r="E2" s="6" t="s">
        <v>305</v>
      </c>
      <c r="F2" s="6" t="s">
        <v>8</v>
      </c>
      <c r="G2" t="s">
        <v>99</v>
      </c>
      <c r="H2" t="str">
        <f>VLOOKUP(G2,'MuleApps&lt;=&gt;MuleIntegrations'!B:C,2,FALSE)</f>
        <v>MUL-MINSTER-NEW-ACCS</v>
      </c>
      <c r="I2" t="str">
        <f>VLOOKUP(G2,'MuleApps&lt;=&gt;MuleIntegrations'!B:D,3,FALSE)</f>
        <v>File Transfer</v>
      </c>
    </row>
    <row r="3" spans="1:9" hidden="1">
      <c r="A3" s="14">
        <v>2</v>
      </c>
      <c r="B3" s="6" t="s">
        <v>299</v>
      </c>
      <c r="C3" s="6" t="s">
        <v>306</v>
      </c>
      <c r="D3" s="6" t="s">
        <v>307</v>
      </c>
      <c r="E3" s="6" t="s">
        <v>305</v>
      </c>
      <c r="F3" s="6" t="s">
        <v>8</v>
      </c>
      <c r="G3" t="s">
        <v>99</v>
      </c>
      <c r="H3" t="str">
        <f>VLOOKUP(G3,'MuleApps&lt;=&gt;MuleIntegrations'!B:C,2,FALSE)</f>
        <v>MUL-MINSTER-NEW-ACCS</v>
      </c>
      <c r="I3" t="str">
        <f>VLOOKUP(G3,'MuleApps&lt;=&gt;MuleIntegrations'!B:D,3,FALSE)</f>
        <v>File Transfer</v>
      </c>
    </row>
    <row r="4" spans="1:9" hidden="1">
      <c r="A4" s="14">
        <v>3</v>
      </c>
      <c r="B4" s="6" t="s">
        <v>184</v>
      </c>
      <c r="C4" s="6" t="s">
        <v>308</v>
      </c>
      <c r="D4" s="6" t="s">
        <v>309</v>
      </c>
      <c r="E4" s="6" t="s">
        <v>305</v>
      </c>
      <c r="F4" s="6" t="s">
        <v>8</v>
      </c>
      <c r="G4" t="s">
        <v>69</v>
      </c>
      <c r="H4" t="str">
        <f>VLOOKUP(G4,'MuleApps&lt;=&gt;MuleIntegrations'!B:C,2,FALSE)</f>
        <v>MUL-DATALAKE</v>
      </c>
      <c r="I4" t="str">
        <f>VLOOKUP(G4,'MuleApps&lt;=&gt;MuleIntegrations'!B:D,3,FALSE)</f>
        <v>File Transfer</v>
      </c>
    </row>
    <row r="5" spans="1:9" hidden="1">
      <c r="A5" s="14">
        <v>4</v>
      </c>
      <c r="B5" s="6" t="s">
        <v>184</v>
      </c>
      <c r="C5" s="6" t="s">
        <v>310</v>
      </c>
      <c r="D5" s="6" t="s">
        <v>8</v>
      </c>
      <c r="E5" s="6" t="s">
        <v>311</v>
      </c>
      <c r="F5" s="6" t="s">
        <v>8</v>
      </c>
      <c r="G5" t="s">
        <v>69</v>
      </c>
      <c r="H5" t="str">
        <f>VLOOKUP(G5,'MuleApps&lt;=&gt;MuleIntegrations'!B:C,2,FALSE)</f>
        <v>MUL-DATALAKE</v>
      </c>
      <c r="I5" t="str">
        <f>VLOOKUP(G5,'MuleApps&lt;=&gt;MuleIntegrations'!B:D,3,FALSE)</f>
        <v>File Transfer</v>
      </c>
    </row>
    <row r="6" spans="1:9" hidden="1">
      <c r="A6" s="14">
        <v>5</v>
      </c>
      <c r="B6" s="6" t="s">
        <v>184</v>
      </c>
      <c r="C6" s="6" t="s">
        <v>312</v>
      </c>
      <c r="D6" s="6" t="s">
        <v>8</v>
      </c>
      <c r="E6" s="6" t="s">
        <v>311</v>
      </c>
      <c r="F6" s="6" t="s">
        <v>8</v>
      </c>
      <c r="G6" t="s">
        <v>69</v>
      </c>
      <c r="H6" t="str">
        <f>VLOOKUP(G6,'MuleApps&lt;=&gt;MuleIntegrations'!B:C,2,FALSE)</f>
        <v>MUL-DATALAKE</v>
      </c>
      <c r="I6" t="str">
        <f>VLOOKUP(G6,'MuleApps&lt;=&gt;MuleIntegrations'!B:D,3,FALSE)</f>
        <v>File Transfer</v>
      </c>
    </row>
    <row r="7" spans="1:9" hidden="1">
      <c r="A7" s="14">
        <v>6</v>
      </c>
      <c r="B7" s="6" t="s">
        <v>184</v>
      </c>
      <c r="C7" s="6" t="s">
        <v>313</v>
      </c>
      <c r="D7" s="6" t="s">
        <v>8</v>
      </c>
      <c r="E7" s="6" t="s">
        <v>311</v>
      </c>
      <c r="F7" s="6" t="s">
        <v>8</v>
      </c>
      <c r="G7" t="s">
        <v>69</v>
      </c>
      <c r="H7" t="str">
        <f>VLOOKUP(G7,'MuleApps&lt;=&gt;MuleIntegrations'!B:C,2,FALSE)</f>
        <v>MUL-DATALAKE</v>
      </c>
      <c r="I7" t="str">
        <f>VLOOKUP(G7,'MuleApps&lt;=&gt;MuleIntegrations'!B:D,3,FALSE)</f>
        <v>File Transfer</v>
      </c>
    </row>
    <row r="8" spans="1:9" hidden="1">
      <c r="A8" s="14">
        <v>7</v>
      </c>
      <c r="B8" s="6" t="s">
        <v>184</v>
      </c>
      <c r="C8" s="6" t="s">
        <v>314</v>
      </c>
      <c r="D8" s="6" t="s">
        <v>8</v>
      </c>
      <c r="E8" s="6" t="s">
        <v>311</v>
      </c>
      <c r="F8" s="6" t="s">
        <v>8</v>
      </c>
      <c r="G8" t="s">
        <v>69</v>
      </c>
      <c r="H8" t="str">
        <f>VLOOKUP(G8,'MuleApps&lt;=&gt;MuleIntegrations'!B:C,2,FALSE)</f>
        <v>MUL-DATALAKE</v>
      </c>
      <c r="I8" t="str">
        <f>VLOOKUP(G8,'MuleApps&lt;=&gt;MuleIntegrations'!B:D,3,FALSE)</f>
        <v>File Transfer</v>
      </c>
    </row>
    <row r="9" spans="1:9" hidden="1">
      <c r="A9" s="14">
        <v>8</v>
      </c>
      <c r="B9" s="6" t="s">
        <v>184</v>
      </c>
      <c r="C9" s="6" t="s">
        <v>315</v>
      </c>
      <c r="D9" s="6" t="s">
        <v>8</v>
      </c>
      <c r="E9" s="6" t="s">
        <v>311</v>
      </c>
      <c r="F9" s="6" t="s">
        <v>8</v>
      </c>
      <c r="G9" t="s">
        <v>69</v>
      </c>
      <c r="H9" t="str">
        <f>VLOOKUP(G9,'MuleApps&lt;=&gt;MuleIntegrations'!B:C,2,FALSE)</f>
        <v>MUL-DATALAKE</v>
      </c>
      <c r="I9" t="str">
        <f>VLOOKUP(G9,'MuleApps&lt;=&gt;MuleIntegrations'!B:D,3,FALSE)</f>
        <v>File Transfer</v>
      </c>
    </row>
    <row r="10" spans="1:9" hidden="1">
      <c r="A10" s="14">
        <v>9</v>
      </c>
      <c r="B10" s="6" t="s">
        <v>184</v>
      </c>
      <c r="C10" s="6" t="s">
        <v>316</v>
      </c>
      <c r="D10" s="6" t="s">
        <v>8</v>
      </c>
      <c r="E10" s="6" t="s">
        <v>311</v>
      </c>
      <c r="F10" s="6" t="s">
        <v>8</v>
      </c>
      <c r="G10" t="s">
        <v>69</v>
      </c>
      <c r="H10" t="str">
        <f>VLOOKUP(G10,'MuleApps&lt;=&gt;MuleIntegrations'!B:C,2,FALSE)</f>
        <v>MUL-DATALAKE</v>
      </c>
      <c r="I10" t="str">
        <f>VLOOKUP(G10,'MuleApps&lt;=&gt;MuleIntegrations'!B:D,3,FALSE)</f>
        <v>File Transfer</v>
      </c>
    </row>
    <row r="11" spans="1:9" hidden="1">
      <c r="A11" s="14">
        <v>10</v>
      </c>
      <c r="B11" s="6" t="s">
        <v>184</v>
      </c>
      <c r="C11" s="6" t="s">
        <v>317</v>
      </c>
      <c r="D11" s="6" t="s">
        <v>8</v>
      </c>
      <c r="E11" s="6" t="s">
        <v>311</v>
      </c>
      <c r="F11" s="6" t="s">
        <v>8</v>
      </c>
      <c r="G11" t="s">
        <v>69</v>
      </c>
      <c r="H11" t="str">
        <f>VLOOKUP(G11,'MuleApps&lt;=&gt;MuleIntegrations'!B:C,2,FALSE)</f>
        <v>MUL-DATALAKE</v>
      </c>
      <c r="I11" t="str">
        <f>VLOOKUP(G11,'MuleApps&lt;=&gt;MuleIntegrations'!B:D,3,FALSE)</f>
        <v>File Transfer</v>
      </c>
    </row>
    <row r="12" spans="1:9" hidden="1">
      <c r="A12" s="14">
        <v>11</v>
      </c>
      <c r="B12" s="6" t="s">
        <v>184</v>
      </c>
      <c r="C12" s="6" t="s">
        <v>318</v>
      </c>
      <c r="D12" s="6" t="s">
        <v>8</v>
      </c>
      <c r="E12" s="6" t="s">
        <v>311</v>
      </c>
      <c r="F12" s="6" t="s">
        <v>8</v>
      </c>
      <c r="G12" t="s">
        <v>69</v>
      </c>
      <c r="H12" t="str">
        <f>VLOOKUP(G12,'MuleApps&lt;=&gt;MuleIntegrations'!B:C,2,FALSE)</f>
        <v>MUL-DATALAKE</v>
      </c>
      <c r="I12" t="str">
        <f>VLOOKUP(G12,'MuleApps&lt;=&gt;MuleIntegrations'!B:D,3,FALSE)</f>
        <v>File Transfer</v>
      </c>
    </row>
    <row r="13" spans="1:9" hidden="1">
      <c r="A13" s="14">
        <v>12</v>
      </c>
      <c r="B13" s="6" t="s">
        <v>184</v>
      </c>
      <c r="C13" s="6" t="s">
        <v>319</v>
      </c>
      <c r="D13" s="6" t="s">
        <v>320</v>
      </c>
      <c r="E13" s="6" t="s">
        <v>305</v>
      </c>
      <c r="F13" s="6" t="s">
        <v>8</v>
      </c>
      <c r="G13" t="s">
        <v>69</v>
      </c>
      <c r="H13" t="str">
        <f>VLOOKUP(G13,'MuleApps&lt;=&gt;MuleIntegrations'!B:C,2,FALSE)</f>
        <v>MUL-DATALAKE</v>
      </c>
      <c r="I13" t="str">
        <f>VLOOKUP(G13,'MuleApps&lt;=&gt;MuleIntegrations'!B:D,3,FALSE)</f>
        <v>File Transfer</v>
      </c>
    </row>
    <row r="14" spans="1:9" hidden="1">
      <c r="A14" s="14">
        <v>13</v>
      </c>
      <c r="B14" s="6" t="s">
        <v>196</v>
      </c>
      <c r="C14" s="6" t="s">
        <v>321</v>
      </c>
      <c r="D14" s="6" t="s">
        <v>8</v>
      </c>
      <c r="E14" s="6" t="s">
        <v>311</v>
      </c>
      <c r="F14" s="6" t="s">
        <v>8</v>
      </c>
      <c r="G14" t="s">
        <v>40</v>
      </c>
      <c r="H14" t="str">
        <f>VLOOKUP(G14,'MuleApps&lt;=&gt;MuleIntegrations'!B:C,2,FALSE)</f>
        <v>MUL-TIMBERDATABASE</v>
      </c>
      <c r="I14" t="str">
        <f>VLOOKUP(G14,'MuleApps&lt;=&gt;MuleIntegrations'!B:D,3,FALSE)</f>
        <v>File Transfer</v>
      </c>
    </row>
    <row r="15" spans="1:9" hidden="1">
      <c r="A15" s="14">
        <v>14</v>
      </c>
      <c r="B15" s="6" t="s">
        <v>196</v>
      </c>
      <c r="C15" s="6" t="s">
        <v>322</v>
      </c>
      <c r="D15" s="6" t="s">
        <v>8</v>
      </c>
      <c r="E15" s="6" t="s">
        <v>311</v>
      </c>
      <c r="F15" s="6" t="s">
        <v>8</v>
      </c>
      <c r="G15" t="s">
        <v>40</v>
      </c>
      <c r="H15" t="str">
        <f>VLOOKUP(G15,'MuleApps&lt;=&gt;MuleIntegrations'!B:C,2,FALSE)</f>
        <v>MUL-TIMBERDATABASE</v>
      </c>
      <c r="I15" t="str">
        <f>VLOOKUP(G15,'MuleApps&lt;=&gt;MuleIntegrations'!B:D,3,FALSE)</f>
        <v>File Transfer</v>
      </c>
    </row>
    <row r="16" spans="1:9" hidden="1">
      <c r="A16" s="14">
        <v>15</v>
      </c>
      <c r="B16" s="6" t="s">
        <v>196</v>
      </c>
      <c r="C16" s="6" t="s">
        <v>323</v>
      </c>
      <c r="D16" s="6" t="s">
        <v>8</v>
      </c>
      <c r="E16" s="6" t="s">
        <v>311</v>
      </c>
      <c r="F16" s="6" t="s">
        <v>8</v>
      </c>
      <c r="G16" t="s">
        <v>40</v>
      </c>
      <c r="H16" t="str">
        <f>VLOOKUP(G16,'MuleApps&lt;=&gt;MuleIntegrations'!B:C,2,FALSE)</f>
        <v>MUL-TIMBERDATABASE</v>
      </c>
      <c r="I16" t="str">
        <f>VLOOKUP(G16,'MuleApps&lt;=&gt;MuleIntegrations'!B:D,3,FALSE)</f>
        <v>File Transfer</v>
      </c>
    </row>
    <row r="17" spans="1:9">
      <c r="A17" s="14">
        <v>16</v>
      </c>
      <c r="B17" s="6" t="s">
        <v>211</v>
      </c>
      <c r="C17" s="6" t="s">
        <v>324</v>
      </c>
      <c r="D17" s="6" t="s">
        <v>325</v>
      </c>
      <c r="E17" s="6" t="s">
        <v>305</v>
      </c>
      <c r="F17" s="6" t="s">
        <v>8</v>
      </c>
      <c r="G17" t="s">
        <v>125</v>
      </c>
      <c r="H17" t="str">
        <f>VLOOKUP(G17,'MuleApps&lt;=&gt;MuleIntegrations'!B:C,2,FALSE)</f>
        <v>MUL-CUSTORDERVALIDATION</v>
      </c>
      <c r="I17" t="str">
        <f>VLOOKUP(G17,'MuleApps&lt;=&gt;MuleIntegrations'!B:D,3,FALSE)</f>
        <v>Mixed</v>
      </c>
    </row>
    <row r="18" spans="1:9">
      <c r="A18" s="14">
        <v>17</v>
      </c>
      <c r="B18" s="6" t="s">
        <v>211</v>
      </c>
      <c r="C18" s="6" t="s">
        <v>326</v>
      </c>
      <c r="D18" s="6" t="s">
        <v>327</v>
      </c>
      <c r="E18" s="6" t="s">
        <v>305</v>
      </c>
      <c r="F18" s="6" t="s">
        <v>8</v>
      </c>
      <c r="G18" t="s">
        <v>125</v>
      </c>
      <c r="H18" t="str">
        <f>VLOOKUP(G18,'MuleApps&lt;=&gt;MuleIntegrations'!B:C,2,FALSE)</f>
        <v>MUL-CUSTORDERVALIDATION</v>
      </c>
      <c r="I18" t="str">
        <f>VLOOKUP(G18,'MuleApps&lt;=&gt;MuleIntegrations'!B:D,3,FALSE)</f>
        <v>Mixed</v>
      </c>
    </row>
    <row r="19" spans="1:9">
      <c r="A19" s="14">
        <v>18</v>
      </c>
      <c r="B19" s="6" t="s">
        <v>211</v>
      </c>
      <c r="C19" s="6" t="s">
        <v>328</v>
      </c>
      <c r="D19" s="6" t="s">
        <v>329</v>
      </c>
      <c r="E19" s="6" t="s">
        <v>305</v>
      </c>
      <c r="F19" s="6" t="s">
        <v>8</v>
      </c>
      <c r="G19" t="s">
        <v>125</v>
      </c>
      <c r="H19" t="str">
        <f>VLOOKUP(G19,'MuleApps&lt;=&gt;MuleIntegrations'!B:C,2,FALSE)</f>
        <v>MUL-CUSTORDERVALIDATION</v>
      </c>
      <c r="I19" t="str">
        <f>VLOOKUP(G19,'MuleApps&lt;=&gt;MuleIntegrations'!B:D,3,FALSE)</f>
        <v>Mixed</v>
      </c>
    </row>
    <row r="20" spans="1:9" hidden="1">
      <c r="A20" s="14">
        <v>19</v>
      </c>
      <c r="B20" s="6" t="s">
        <v>289</v>
      </c>
      <c r="C20" s="6" t="s">
        <v>330</v>
      </c>
      <c r="D20" s="6" t="s">
        <v>8</v>
      </c>
      <c r="E20" s="6" t="s">
        <v>311</v>
      </c>
      <c r="F20" s="6" t="s">
        <v>8</v>
      </c>
      <c r="G20" t="s">
        <v>57</v>
      </c>
      <c r="H20" t="str">
        <f>VLOOKUP(G20,'MuleApps&lt;=&gt;MuleIntegrations'!B:C,2,FALSE)</f>
        <v>MUL-ERP-3rd-PARTY</v>
      </c>
      <c r="I20" t="str">
        <f>VLOOKUP(G20,'MuleApps&lt;=&gt;MuleIntegrations'!B:D,3,FALSE)</f>
        <v>File Transfer</v>
      </c>
    </row>
    <row r="21" spans="1:9" hidden="1">
      <c r="A21" s="14">
        <v>20</v>
      </c>
      <c r="B21" s="6" t="s">
        <v>289</v>
      </c>
      <c r="C21" s="6" t="s">
        <v>331</v>
      </c>
      <c r="D21" s="6" t="s">
        <v>8</v>
      </c>
      <c r="E21" s="6" t="s">
        <v>311</v>
      </c>
      <c r="F21" s="6" t="s">
        <v>8</v>
      </c>
      <c r="G21" t="s">
        <v>57</v>
      </c>
      <c r="H21" t="str">
        <f>VLOOKUP(G21,'MuleApps&lt;=&gt;MuleIntegrations'!B:C,2,FALSE)</f>
        <v>MUL-ERP-3rd-PARTY</v>
      </c>
      <c r="I21" t="str">
        <f>VLOOKUP(G21,'MuleApps&lt;=&gt;MuleIntegrations'!B:D,3,FALSE)</f>
        <v>File Transfer</v>
      </c>
    </row>
    <row r="22" spans="1:9" hidden="1">
      <c r="A22" s="14">
        <v>21</v>
      </c>
      <c r="B22" s="6" t="s">
        <v>289</v>
      </c>
      <c r="C22" s="6" t="s">
        <v>332</v>
      </c>
      <c r="D22" s="6" t="s">
        <v>8</v>
      </c>
      <c r="E22" s="6" t="s">
        <v>311</v>
      </c>
      <c r="F22" s="6" t="s">
        <v>8</v>
      </c>
      <c r="G22" t="s">
        <v>57</v>
      </c>
      <c r="H22" t="str">
        <f>VLOOKUP(G22,'MuleApps&lt;=&gt;MuleIntegrations'!B:C,2,FALSE)</f>
        <v>MUL-ERP-3rd-PARTY</v>
      </c>
      <c r="I22" t="str">
        <f>VLOOKUP(G22,'MuleApps&lt;=&gt;MuleIntegrations'!B:D,3,FALSE)</f>
        <v>File Transfer</v>
      </c>
    </row>
    <row r="23" spans="1:9" hidden="1">
      <c r="A23" s="14">
        <v>22</v>
      </c>
      <c r="B23" s="6" t="s">
        <v>289</v>
      </c>
      <c r="C23" s="6" t="s">
        <v>333</v>
      </c>
      <c r="D23" s="6" t="s">
        <v>334</v>
      </c>
      <c r="E23" s="6" t="s">
        <v>305</v>
      </c>
      <c r="F23" s="6" t="s">
        <v>8</v>
      </c>
      <c r="G23" t="s">
        <v>57</v>
      </c>
      <c r="H23" t="str">
        <f>VLOOKUP(G23,'MuleApps&lt;=&gt;MuleIntegrations'!B:C,2,FALSE)</f>
        <v>MUL-ERP-3rd-PARTY</v>
      </c>
      <c r="I23" t="str">
        <f>VLOOKUP(G23,'MuleApps&lt;=&gt;MuleIntegrations'!B:D,3,FALSE)</f>
        <v>File Transfer</v>
      </c>
    </row>
    <row r="24" spans="1:9" hidden="1">
      <c r="A24" s="14">
        <v>23</v>
      </c>
      <c r="B24" s="6" t="s">
        <v>289</v>
      </c>
      <c r="C24" s="6" t="s">
        <v>335</v>
      </c>
      <c r="D24" s="6" t="s">
        <v>8</v>
      </c>
      <c r="E24" s="6" t="s">
        <v>311</v>
      </c>
      <c r="F24" s="6" t="s">
        <v>8</v>
      </c>
      <c r="G24" t="s">
        <v>57</v>
      </c>
      <c r="H24" t="str">
        <f>VLOOKUP(G24,'MuleApps&lt;=&gt;MuleIntegrations'!B:C,2,FALSE)</f>
        <v>MUL-ERP-3rd-PARTY</v>
      </c>
      <c r="I24" t="str">
        <f>VLOOKUP(G24,'MuleApps&lt;=&gt;MuleIntegrations'!B:D,3,FALSE)</f>
        <v>File Transfer</v>
      </c>
    </row>
    <row r="25" spans="1:9" hidden="1">
      <c r="A25" s="14">
        <v>24</v>
      </c>
      <c r="B25" s="6" t="s">
        <v>289</v>
      </c>
      <c r="C25" s="6" t="s">
        <v>336</v>
      </c>
      <c r="D25" s="6" t="s">
        <v>8</v>
      </c>
      <c r="E25" s="6" t="s">
        <v>311</v>
      </c>
      <c r="F25" s="6" t="s">
        <v>8</v>
      </c>
      <c r="G25" t="s">
        <v>57</v>
      </c>
      <c r="H25" t="str">
        <f>VLOOKUP(G25,'MuleApps&lt;=&gt;MuleIntegrations'!B:C,2,FALSE)</f>
        <v>MUL-ERP-3rd-PARTY</v>
      </c>
      <c r="I25" t="str">
        <f>VLOOKUP(G25,'MuleApps&lt;=&gt;MuleIntegrations'!B:D,3,FALSE)</f>
        <v>File Transfer</v>
      </c>
    </row>
    <row r="26" spans="1:9" hidden="1">
      <c r="A26" s="14">
        <v>25</v>
      </c>
      <c r="B26" s="6" t="s">
        <v>289</v>
      </c>
      <c r="C26" s="6" t="s">
        <v>337</v>
      </c>
      <c r="D26" s="6" t="s">
        <v>8</v>
      </c>
      <c r="E26" s="6" t="s">
        <v>311</v>
      </c>
      <c r="F26" s="6" t="s">
        <v>8</v>
      </c>
      <c r="G26" t="s">
        <v>57</v>
      </c>
      <c r="H26" t="str">
        <f>VLOOKUP(G26,'MuleApps&lt;=&gt;MuleIntegrations'!B:C,2,FALSE)</f>
        <v>MUL-ERP-3rd-PARTY</v>
      </c>
      <c r="I26" t="str">
        <f>VLOOKUP(G26,'MuleApps&lt;=&gt;MuleIntegrations'!B:D,3,FALSE)</f>
        <v>File Transfer</v>
      </c>
    </row>
    <row r="27" spans="1:9" hidden="1">
      <c r="A27" s="14">
        <v>26</v>
      </c>
      <c r="B27" s="6" t="s">
        <v>289</v>
      </c>
      <c r="C27" s="6" t="s">
        <v>338</v>
      </c>
      <c r="D27" s="6" t="s">
        <v>8</v>
      </c>
      <c r="E27" s="6" t="s">
        <v>311</v>
      </c>
      <c r="F27" s="6" t="s">
        <v>8</v>
      </c>
      <c r="G27" t="s">
        <v>57</v>
      </c>
      <c r="H27" t="str">
        <f>VLOOKUP(G27,'MuleApps&lt;=&gt;MuleIntegrations'!B:C,2,FALSE)</f>
        <v>MUL-ERP-3rd-PARTY</v>
      </c>
      <c r="I27" t="str">
        <f>VLOOKUP(G27,'MuleApps&lt;=&gt;MuleIntegrations'!B:D,3,FALSE)</f>
        <v>File Transfer</v>
      </c>
    </row>
    <row r="28" spans="1:9" hidden="1">
      <c r="A28" s="14">
        <v>27</v>
      </c>
      <c r="B28" s="6" t="s">
        <v>289</v>
      </c>
      <c r="C28" s="6" t="s">
        <v>339</v>
      </c>
      <c r="D28" s="6" t="s">
        <v>8</v>
      </c>
      <c r="E28" s="6" t="s">
        <v>311</v>
      </c>
      <c r="F28" s="6" t="s">
        <v>8</v>
      </c>
      <c r="G28" t="s">
        <v>57</v>
      </c>
      <c r="H28" t="str">
        <f>VLOOKUP(G28,'MuleApps&lt;=&gt;MuleIntegrations'!B:C,2,FALSE)</f>
        <v>MUL-ERP-3rd-PARTY</v>
      </c>
      <c r="I28" t="str">
        <f>VLOOKUP(G28,'MuleApps&lt;=&gt;MuleIntegrations'!B:D,3,FALSE)</f>
        <v>File Transfer</v>
      </c>
    </row>
    <row r="29" spans="1:9" hidden="1">
      <c r="A29" s="14">
        <v>28</v>
      </c>
      <c r="B29" s="6" t="s">
        <v>289</v>
      </c>
      <c r="C29" s="6" t="s">
        <v>340</v>
      </c>
      <c r="D29" s="6" t="s">
        <v>8</v>
      </c>
      <c r="E29" s="6" t="s">
        <v>311</v>
      </c>
      <c r="F29" s="6" t="s">
        <v>8</v>
      </c>
      <c r="G29" t="s">
        <v>57</v>
      </c>
      <c r="H29" t="str">
        <f>VLOOKUP(G29,'MuleApps&lt;=&gt;MuleIntegrations'!B:C,2,FALSE)</f>
        <v>MUL-ERP-3rd-PARTY</v>
      </c>
      <c r="I29" t="str">
        <f>VLOOKUP(G29,'MuleApps&lt;=&gt;MuleIntegrations'!B:D,3,FALSE)</f>
        <v>File Transfer</v>
      </c>
    </row>
    <row r="30" spans="1:9" hidden="1">
      <c r="A30" s="14">
        <v>29</v>
      </c>
      <c r="B30" s="6" t="s">
        <v>289</v>
      </c>
      <c r="C30" s="6" t="s">
        <v>341</v>
      </c>
      <c r="D30" s="6" t="s">
        <v>8</v>
      </c>
      <c r="E30" s="6" t="s">
        <v>311</v>
      </c>
      <c r="F30" s="6" t="s">
        <v>8</v>
      </c>
      <c r="G30" t="s">
        <v>57</v>
      </c>
      <c r="H30" t="str">
        <f>VLOOKUP(G30,'MuleApps&lt;=&gt;MuleIntegrations'!B:C,2,FALSE)</f>
        <v>MUL-ERP-3rd-PARTY</v>
      </c>
      <c r="I30" t="str">
        <f>VLOOKUP(G30,'MuleApps&lt;=&gt;MuleIntegrations'!B:D,3,FALSE)</f>
        <v>File Transfer</v>
      </c>
    </row>
    <row r="31" spans="1:9" hidden="1">
      <c r="A31" s="14">
        <v>30</v>
      </c>
      <c r="B31" s="6" t="s">
        <v>289</v>
      </c>
      <c r="C31" s="6" t="s">
        <v>342</v>
      </c>
      <c r="D31" s="6" t="s">
        <v>8</v>
      </c>
      <c r="E31" s="6" t="s">
        <v>311</v>
      </c>
      <c r="F31" s="6" t="s">
        <v>8</v>
      </c>
      <c r="G31" t="s">
        <v>57</v>
      </c>
      <c r="H31" t="str">
        <f>VLOOKUP(G31,'MuleApps&lt;=&gt;MuleIntegrations'!B:C,2,FALSE)</f>
        <v>MUL-ERP-3rd-PARTY</v>
      </c>
      <c r="I31" t="str">
        <f>VLOOKUP(G31,'MuleApps&lt;=&gt;MuleIntegrations'!B:D,3,FALSE)</f>
        <v>File Transfer</v>
      </c>
    </row>
    <row r="32" spans="1:9" hidden="1">
      <c r="A32" s="14">
        <v>31</v>
      </c>
      <c r="B32" s="6" t="s">
        <v>289</v>
      </c>
      <c r="C32" s="6" t="s">
        <v>343</v>
      </c>
      <c r="D32" s="6" t="s">
        <v>8</v>
      </c>
      <c r="E32" s="6" t="s">
        <v>311</v>
      </c>
      <c r="F32" s="6" t="s">
        <v>8</v>
      </c>
      <c r="G32" t="s">
        <v>57</v>
      </c>
      <c r="H32" t="str">
        <f>VLOOKUP(G32,'MuleApps&lt;=&gt;MuleIntegrations'!B:C,2,FALSE)</f>
        <v>MUL-ERP-3rd-PARTY</v>
      </c>
      <c r="I32" t="str">
        <f>VLOOKUP(G32,'MuleApps&lt;=&gt;MuleIntegrations'!B:D,3,FALSE)</f>
        <v>File Transfer</v>
      </c>
    </row>
    <row r="33" spans="1:9" hidden="1">
      <c r="A33" s="14">
        <v>32</v>
      </c>
      <c r="B33" s="6" t="s">
        <v>289</v>
      </c>
      <c r="C33" s="6" t="s">
        <v>344</v>
      </c>
      <c r="D33" s="6" t="s">
        <v>8</v>
      </c>
      <c r="E33" s="6" t="s">
        <v>311</v>
      </c>
      <c r="F33" s="6" t="s">
        <v>8</v>
      </c>
      <c r="G33" t="s">
        <v>57</v>
      </c>
      <c r="H33" t="str">
        <f>VLOOKUP(G33,'MuleApps&lt;=&gt;MuleIntegrations'!B:C,2,FALSE)</f>
        <v>MUL-ERP-3rd-PARTY</v>
      </c>
      <c r="I33" t="str">
        <f>VLOOKUP(G33,'MuleApps&lt;=&gt;MuleIntegrations'!B:D,3,FALSE)</f>
        <v>File Transfer</v>
      </c>
    </row>
    <row r="34" spans="1:9" hidden="1">
      <c r="A34" s="14">
        <v>33</v>
      </c>
      <c r="B34" s="6" t="s">
        <v>289</v>
      </c>
      <c r="C34" s="6" t="s">
        <v>345</v>
      </c>
      <c r="D34" s="6" t="s">
        <v>8</v>
      </c>
      <c r="E34" s="6" t="s">
        <v>311</v>
      </c>
      <c r="F34" s="6" t="s">
        <v>8</v>
      </c>
      <c r="G34" t="s">
        <v>57</v>
      </c>
      <c r="H34" t="str">
        <f>VLOOKUP(G34,'MuleApps&lt;=&gt;MuleIntegrations'!B:C,2,FALSE)</f>
        <v>MUL-ERP-3rd-PARTY</v>
      </c>
      <c r="I34" t="str">
        <f>VLOOKUP(G34,'MuleApps&lt;=&gt;MuleIntegrations'!B:D,3,FALSE)</f>
        <v>File Transfer</v>
      </c>
    </row>
    <row r="35" spans="1:9" hidden="1">
      <c r="A35" s="14">
        <v>34</v>
      </c>
      <c r="B35" s="6" t="s">
        <v>289</v>
      </c>
      <c r="C35" s="6" t="s">
        <v>346</v>
      </c>
      <c r="D35" s="6" t="s">
        <v>8</v>
      </c>
      <c r="E35" s="6" t="s">
        <v>311</v>
      </c>
      <c r="F35" s="6" t="s">
        <v>8</v>
      </c>
      <c r="G35" t="s">
        <v>57</v>
      </c>
      <c r="H35" t="str">
        <f>VLOOKUP(G35,'MuleApps&lt;=&gt;MuleIntegrations'!B:C,2,FALSE)</f>
        <v>MUL-ERP-3rd-PARTY</v>
      </c>
      <c r="I35" t="str">
        <f>VLOOKUP(G35,'MuleApps&lt;=&gt;MuleIntegrations'!B:D,3,FALSE)</f>
        <v>File Transfer</v>
      </c>
    </row>
    <row r="36" spans="1:9" hidden="1">
      <c r="A36" s="14">
        <v>35</v>
      </c>
      <c r="B36" s="6" t="s">
        <v>289</v>
      </c>
      <c r="C36" s="6" t="s">
        <v>347</v>
      </c>
      <c r="D36" s="6" t="s">
        <v>8</v>
      </c>
      <c r="E36" s="6" t="s">
        <v>311</v>
      </c>
      <c r="F36" s="6" t="s">
        <v>8</v>
      </c>
      <c r="G36" t="s">
        <v>57</v>
      </c>
      <c r="H36" t="str">
        <f>VLOOKUP(G36,'MuleApps&lt;=&gt;MuleIntegrations'!B:C,2,FALSE)</f>
        <v>MUL-ERP-3rd-PARTY</v>
      </c>
      <c r="I36" t="str">
        <f>VLOOKUP(G36,'MuleApps&lt;=&gt;MuleIntegrations'!B:D,3,FALSE)</f>
        <v>File Transfer</v>
      </c>
    </row>
    <row r="37" spans="1:9">
      <c r="A37" s="14">
        <v>36</v>
      </c>
      <c r="B37" s="6" t="s">
        <v>197</v>
      </c>
      <c r="C37" s="6" t="s">
        <v>348</v>
      </c>
      <c r="D37" s="6" t="s">
        <v>349</v>
      </c>
      <c r="E37" s="6" t="s">
        <v>305</v>
      </c>
      <c r="F37" s="6" t="s">
        <v>8</v>
      </c>
      <c r="G37" t="s">
        <v>6</v>
      </c>
      <c r="H37" t="str">
        <f>VLOOKUP(G37,'MuleApps&lt;=&gt;MuleIntegrations'!B:C,2,FALSE)</f>
        <v>MUL-CONSOLIDATEDINVOICE</v>
      </c>
      <c r="I37" t="str">
        <f>VLOOKUP(G37,'MuleApps&lt;=&gt;MuleIntegrations'!B:D,3,FALSE)</f>
        <v>Mixed</v>
      </c>
    </row>
    <row r="38" spans="1:9" hidden="1">
      <c r="A38" s="14">
        <v>37</v>
      </c>
      <c r="B38" s="6" t="s">
        <v>197</v>
      </c>
      <c r="C38" s="6" t="s">
        <v>350</v>
      </c>
      <c r="D38" s="6" t="s">
        <v>8</v>
      </c>
      <c r="E38" s="6" t="s">
        <v>311</v>
      </c>
      <c r="F38" s="6" t="s">
        <v>8</v>
      </c>
      <c r="G38" t="s">
        <v>6</v>
      </c>
      <c r="H38" t="str">
        <f>VLOOKUP(G38,'MuleApps&lt;=&gt;MuleIntegrations'!B:C,2,FALSE)</f>
        <v>MUL-CONSOLIDATEDINVOICE</v>
      </c>
      <c r="I38" t="str">
        <f>VLOOKUP(G38,'MuleApps&lt;=&gt;MuleIntegrations'!B:D,3,FALSE)</f>
        <v>Mixed</v>
      </c>
    </row>
    <row r="39" spans="1:9" hidden="1">
      <c r="A39" s="14">
        <v>38</v>
      </c>
      <c r="B39" s="6" t="s">
        <v>197</v>
      </c>
      <c r="C39" s="6" t="s">
        <v>351</v>
      </c>
      <c r="D39" s="6" t="s">
        <v>8</v>
      </c>
      <c r="E39" s="6" t="s">
        <v>311</v>
      </c>
      <c r="F39" s="6" t="s">
        <v>8</v>
      </c>
      <c r="G39" t="s">
        <v>6</v>
      </c>
      <c r="H39" t="str">
        <f>VLOOKUP(G39,'MuleApps&lt;=&gt;MuleIntegrations'!B:C,2,FALSE)</f>
        <v>MUL-CONSOLIDATEDINVOICE</v>
      </c>
      <c r="I39" t="str">
        <f>VLOOKUP(G39,'MuleApps&lt;=&gt;MuleIntegrations'!B:D,3,FALSE)</f>
        <v>Mixed</v>
      </c>
    </row>
    <row r="40" spans="1:9" hidden="1">
      <c r="A40" s="14">
        <v>39</v>
      </c>
      <c r="B40" s="6" t="s">
        <v>197</v>
      </c>
      <c r="C40" s="6" t="s">
        <v>352</v>
      </c>
      <c r="D40" s="6" t="s">
        <v>8</v>
      </c>
      <c r="E40" s="6" t="s">
        <v>311</v>
      </c>
      <c r="F40" s="6" t="s">
        <v>8</v>
      </c>
      <c r="G40" t="s">
        <v>6</v>
      </c>
      <c r="H40" t="str">
        <f>VLOOKUP(G40,'MuleApps&lt;=&gt;MuleIntegrations'!B:C,2,FALSE)</f>
        <v>MUL-CONSOLIDATEDINVOICE</v>
      </c>
      <c r="I40" t="str">
        <f>VLOOKUP(G40,'MuleApps&lt;=&gt;MuleIntegrations'!B:D,3,FALSE)</f>
        <v>Mixed</v>
      </c>
    </row>
    <row r="41" spans="1:9">
      <c r="A41" s="14">
        <v>40</v>
      </c>
      <c r="B41" s="6" t="s">
        <v>197</v>
      </c>
      <c r="C41" s="6" t="s">
        <v>353</v>
      </c>
      <c r="D41" s="6" t="s">
        <v>354</v>
      </c>
      <c r="E41" s="6" t="s">
        <v>305</v>
      </c>
      <c r="F41" s="6" t="s">
        <v>8</v>
      </c>
      <c r="G41" t="s">
        <v>6</v>
      </c>
      <c r="H41" t="str">
        <f>VLOOKUP(G41,'MuleApps&lt;=&gt;MuleIntegrations'!B:C,2,FALSE)</f>
        <v>MUL-CONSOLIDATEDINVOICE</v>
      </c>
      <c r="I41" t="str">
        <f>VLOOKUP(G41,'MuleApps&lt;=&gt;MuleIntegrations'!B:D,3,FALSE)</f>
        <v>Mixed</v>
      </c>
    </row>
    <row r="42" spans="1:9" hidden="1">
      <c r="A42" s="14">
        <v>41</v>
      </c>
      <c r="B42" s="6" t="s">
        <v>197</v>
      </c>
      <c r="C42" s="6" t="s">
        <v>355</v>
      </c>
      <c r="D42" s="6" t="s">
        <v>8</v>
      </c>
      <c r="E42" s="6" t="s">
        <v>311</v>
      </c>
      <c r="F42" s="6" t="s">
        <v>8</v>
      </c>
      <c r="G42" t="s">
        <v>6</v>
      </c>
      <c r="H42" t="str">
        <f>VLOOKUP(G42,'MuleApps&lt;=&gt;MuleIntegrations'!B:C,2,FALSE)</f>
        <v>MUL-CONSOLIDATEDINVOICE</v>
      </c>
      <c r="I42" t="str">
        <f>VLOOKUP(G42,'MuleApps&lt;=&gt;MuleIntegrations'!B:D,3,FALSE)</f>
        <v>Mixed</v>
      </c>
    </row>
    <row r="43" spans="1:9" hidden="1">
      <c r="A43" s="14">
        <v>42</v>
      </c>
      <c r="B43" s="6" t="s">
        <v>197</v>
      </c>
      <c r="C43" s="6" t="s">
        <v>356</v>
      </c>
      <c r="D43" s="6" t="s">
        <v>8</v>
      </c>
      <c r="E43" s="6" t="s">
        <v>311</v>
      </c>
      <c r="F43" s="6" t="s">
        <v>8</v>
      </c>
      <c r="G43" t="s">
        <v>6</v>
      </c>
      <c r="H43" t="str">
        <f>VLOOKUP(G43,'MuleApps&lt;=&gt;MuleIntegrations'!B:C,2,FALSE)</f>
        <v>MUL-CONSOLIDATEDINVOICE</v>
      </c>
      <c r="I43" t="str">
        <f>VLOOKUP(G43,'MuleApps&lt;=&gt;MuleIntegrations'!B:D,3,FALSE)</f>
        <v>Mixed</v>
      </c>
    </row>
    <row r="44" spans="1:9">
      <c r="A44" s="14">
        <v>43</v>
      </c>
      <c r="B44" s="6" t="s">
        <v>197</v>
      </c>
      <c r="C44" s="6" t="s">
        <v>357</v>
      </c>
      <c r="D44" s="6" t="s">
        <v>358</v>
      </c>
      <c r="E44" s="6" t="s">
        <v>305</v>
      </c>
      <c r="F44" s="6" t="s">
        <v>8</v>
      </c>
      <c r="G44" t="s">
        <v>6</v>
      </c>
      <c r="H44" t="str">
        <f>VLOOKUP(G44,'MuleApps&lt;=&gt;MuleIntegrations'!B:C,2,FALSE)</f>
        <v>MUL-CONSOLIDATEDINVOICE</v>
      </c>
      <c r="I44" t="str">
        <f>VLOOKUP(G44,'MuleApps&lt;=&gt;MuleIntegrations'!B:D,3,FALSE)</f>
        <v>Mixed</v>
      </c>
    </row>
    <row r="45" spans="1:9">
      <c r="A45" s="14">
        <v>44</v>
      </c>
      <c r="B45" s="6" t="s">
        <v>197</v>
      </c>
      <c r="C45" s="6" t="s">
        <v>359</v>
      </c>
      <c r="D45" s="6" t="s">
        <v>360</v>
      </c>
      <c r="E45" s="6" t="s">
        <v>305</v>
      </c>
      <c r="F45" s="6" t="s">
        <v>8</v>
      </c>
      <c r="G45" t="s">
        <v>6</v>
      </c>
      <c r="H45" t="str">
        <f>VLOOKUP(G45,'MuleApps&lt;=&gt;MuleIntegrations'!B:C,2,FALSE)</f>
        <v>MUL-CONSOLIDATEDINVOICE</v>
      </c>
      <c r="I45" t="str">
        <f>VLOOKUP(G45,'MuleApps&lt;=&gt;MuleIntegrations'!B:D,3,FALSE)</f>
        <v>Mixed</v>
      </c>
    </row>
    <row r="46" spans="1:9" hidden="1">
      <c r="A46" s="14">
        <v>45</v>
      </c>
      <c r="B46" s="6" t="s">
        <v>287</v>
      </c>
      <c r="C46" s="6" t="s">
        <v>361</v>
      </c>
      <c r="D46" s="6" t="s">
        <v>309</v>
      </c>
      <c r="E46" s="6" t="s">
        <v>305</v>
      </c>
      <c r="F46" s="6" t="s">
        <v>8</v>
      </c>
      <c r="G46" t="s">
        <v>54</v>
      </c>
      <c r="H46" t="str">
        <f>VLOOKUP(G46,'MuleApps&lt;=&gt;MuleIntegrations'!B:C,2,FALSE)</f>
        <v>MUL-ICERTIS</v>
      </c>
      <c r="I46" t="str">
        <f>VLOOKUP(G46,'MuleApps&lt;=&gt;MuleIntegrations'!B:D,3,FALSE)</f>
        <v>File Transfer</v>
      </c>
    </row>
    <row r="47" spans="1:9" hidden="1">
      <c r="A47" s="14">
        <v>46</v>
      </c>
      <c r="B47" s="6" t="s">
        <v>287</v>
      </c>
      <c r="C47" s="6" t="s">
        <v>362</v>
      </c>
      <c r="D47" s="6" t="s">
        <v>363</v>
      </c>
      <c r="E47" s="6" t="s">
        <v>305</v>
      </c>
      <c r="F47" s="6" t="s">
        <v>8</v>
      </c>
      <c r="G47" t="s">
        <v>54</v>
      </c>
      <c r="H47" t="str">
        <f>VLOOKUP(G47,'MuleApps&lt;=&gt;MuleIntegrations'!B:C,2,FALSE)</f>
        <v>MUL-ICERTIS</v>
      </c>
      <c r="I47" t="str">
        <f>VLOOKUP(G47,'MuleApps&lt;=&gt;MuleIntegrations'!B:D,3,FALSE)</f>
        <v>File Transfer</v>
      </c>
    </row>
    <row r="48" spans="1:9" hidden="1">
      <c r="A48" s="14">
        <v>47</v>
      </c>
      <c r="B48" s="6" t="s">
        <v>287</v>
      </c>
      <c r="C48" s="6" t="s">
        <v>364</v>
      </c>
      <c r="D48" s="6" t="s">
        <v>8</v>
      </c>
      <c r="E48" s="6" t="s">
        <v>311</v>
      </c>
      <c r="F48" s="6" t="s">
        <v>8</v>
      </c>
      <c r="G48" t="s">
        <v>54</v>
      </c>
      <c r="H48" t="str">
        <f>VLOOKUP(G48,'MuleApps&lt;=&gt;MuleIntegrations'!B:C,2,FALSE)</f>
        <v>MUL-ICERTIS</v>
      </c>
      <c r="I48" t="str">
        <f>VLOOKUP(G48,'MuleApps&lt;=&gt;MuleIntegrations'!B:D,3,FALSE)</f>
        <v>File Transfer</v>
      </c>
    </row>
    <row r="49" spans="1:9" hidden="1">
      <c r="A49" s="14">
        <v>48</v>
      </c>
      <c r="B49" s="6" t="s">
        <v>287</v>
      </c>
      <c r="C49" s="6" t="s">
        <v>365</v>
      </c>
      <c r="D49" s="6" t="s">
        <v>8</v>
      </c>
      <c r="E49" s="6" t="s">
        <v>311</v>
      </c>
      <c r="F49" s="6" t="s">
        <v>8</v>
      </c>
      <c r="G49" t="s">
        <v>54</v>
      </c>
      <c r="H49" t="str">
        <f>VLOOKUP(G49,'MuleApps&lt;=&gt;MuleIntegrations'!B:C,2,FALSE)</f>
        <v>MUL-ICERTIS</v>
      </c>
      <c r="I49" t="str">
        <f>VLOOKUP(G49,'MuleApps&lt;=&gt;MuleIntegrations'!B:D,3,FALSE)</f>
        <v>File Transfer</v>
      </c>
    </row>
    <row r="50" spans="1:9" hidden="1">
      <c r="A50" s="14">
        <v>49</v>
      </c>
      <c r="B50" s="6" t="s">
        <v>287</v>
      </c>
      <c r="C50" s="6" t="s">
        <v>366</v>
      </c>
      <c r="D50" s="6" t="s">
        <v>8</v>
      </c>
      <c r="E50" s="6" t="s">
        <v>311</v>
      </c>
      <c r="F50" s="6" t="s">
        <v>8</v>
      </c>
      <c r="G50" t="s">
        <v>54</v>
      </c>
      <c r="H50" t="str">
        <f>VLOOKUP(G50,'MuleApps&lt;=&gt;MuleIntegrations'!B:C,2,FALSE)</f>
        <v>MUL-ICERTIS</v>
      </c>
      <c r="I50" t="str">
        <f>VLOOKUP(G50,'MuleApps&lt;=&gt;MuleIntegrations'!B:D,3,FALSE)</f>
        <v>File Transfer</v>
      </c>
    </row>
    <row r="51" spans="1:9" hidden="1">
      <c r="A51" s="14">
        <v>50</v>
      </c>
      <c r="B51" s="6" t="s">
        <v>287</v>
      </c>
      <c r="C51" s="6" t="s">
        <v>367</v>
      </c>
      <c r="D51" s="6" t="s">
        <v>8</v>
      </c>
      <c r="E51" s="6" t="s">
        <v>311</v>
      </c>
      <c r="F51" s="6" t="s">
        <v>8</v>
      </c>
      <c r="G51" t="s">
        <v>54</v>
      </c>
      <c r="H51" t="str">
        <f>VLOOKUP(G51,'MuleApps&lt;=&gt;MuleIntegrations'!B:C,2,FALSE)</f>
        <v>MUL-ICERTIS</v>
      </c>
      <c r="I51" t="str">
        <f>VLOOKUP(G51,'MuleApps&lt;=&gt;MuleIntegrations'!B:D,3,FALSE)</f>
        <v>File Transfer</v>
      </c>
    </row>
    <row r="52" spans="1:9" hidden="1">
      <c r="A52" s="14">
        <v>51</v>
      </c>
      <c r="B52" s="6" t="s">
        <v>287</v>
      </c>
      <c r="C52" s="6" t="s">
        <v>368</v>
      </c>
      <c r="D52" s="6" t="s">
        <v>8</v>
      </c>
      <c r="E52" s="6" t="s">
        <v>311</v>
      </c>
      <c r="F52" s="6" t="s">
        <v>8</v>
      </c>
      <c r="G52" t="s">
        <v>54</v>
      </c>
      <c r="H52" t="str">
        <f>VLOOKUP(G52,'MuleApps&lt;=&gt;MuleIntegrations'!B:C,2,FALSE)</f>
        <v>MUL-ICERTIS</v>
      </c>
      <c r="I52" t="str">
        <f>VLOOKUP(G52,'MuleApps&lt;=&gt;MuleIntegrations'!B:D,3,FALSE)</f>
        <v>File Transfer</v>
      </c>
    </row>
    <row r="53" spans="1:9" hidden="1">
      <c r="A53" s="14">
        <v>52</v>
      </c>
      <c r="B53" s="6" t="s">
        <v>287</v>
      </c>
      <c r="C53" s="6" t="s">
        <v>369</v>
      </c>
      <c r="D53" s="6" t="s">
        <v>8</v>
      </c>
      <c r="E53" s="6" t="s">
        <v>311</v>
      </c>
      <c r="F53" s="6" t="s">
        <v>8</v>
      </c>
      <c r="G53" t="s">
        <v>54</v>
      </c>
      <c r="H53" t="str">
        <f>VLOOKUP(G53,'MuleApps&lt;=&gt;MuleIntegrations'!B:C,2,FALSE)</f>
        <v>MUL-ICERTIS</v>
      </c>
      <c r="I53" t="str">
        <f>VLOOKUP(G53,'MuleApps&lt;=&gt;MuleIntegrations'!B:D,3,FALSE)</f>
        <v>File Transfer</v>
      </c>
    </row>
    <row r="54" spans="1:9" hidden="1">
      <c r="A54" s="14">
        <v>53</v>
      </c>
      <c r="B54" s="6" t="s">
        <v>287</v>
      </c>
      <c r="C54" s="6" t="s">
        <v>370</v>
      </c>
      <c r="D54" s="6" t="s">
        <v>371</v>
      </c>
      <c r="E54" s="6" t="s">
        <v>305</v>
      </c>
      <c r="F54" s="6" t="s">
        <v>8</v>
      </c>
      <c r="G54" t="s">
        <v>54</v>
      </c>
      <c r="H54" t="str">
        <f>VLOOKUP(G54,'MuleApps&lt;=&gt;MuleIntegrations'!B:C,2,FALSE)</f>
        <v>MUL-ICERTIS</v>
      </c>
      <c r="I54" t="str">
        <f>VLOOKUP(G54,'MuleApps&lt;=&gt;MuleIntegrations'!B:D,3,FALSE)</f>
        <v>File Transfer</v>
      </c>
    </row>
    <row r="55" spans="1:9" hidden="1">
      <c r="A55" s="14">
        <v>54</v>
      </c>
      <c r="B55" s="6" t="s">
        <v>287</v>
      </c>
      <c r="C55" s="6" t="s">
        <v>372</v>
      </c>
      <c r="D55" s="6" t="s">
        <v>8</v>
      </c>
      <c r="E55" s="6" t="s">
        <v>311</v>
      </c>
      <c r="F55" s="6" t="s">
        <v>8</v>
      </c>
      <c r="G55" t="s">
        <v>54</v>
      </c>
      <c r="H55" t="str">
        <f>VLOOKUP(G55,'MuleApps&lt;=&gt;MuleIntegrations'!B:C,2,FALSE)</f>
        <v>MUL-ICERTIS</v>
      </c>
      <c r="I55" t="str">
        <f>VLOOKUP(G55,'MuleApps&lt;=&gt;MuleIntegrations'!B:D,3,FALSE)</f>
        <v>File Transfer</v>
      </c>
    </row>
    <row r="56" spans="1:9" hidden="1">
      <c r="A56" s="14">
        <v>55</v>
      </c>
      <c r="B56" s="6" t="s">
        <v>287</v>
      </c>
      <c r="C56" s="6" t="s">
        <v>373</v>
      </c>
      <c r="D56" s="6" t="s">
        <v>8</v>
      </c>
      <c r="E56" s="6" t="s">
        <v>311</v>
      </c>
      <c r="F56" s="6" t="s">
        <v>8</v>
      </c>
      <c r="G56" t="s">
        <v>54</v>
      </c>
      <c r="H56" t="str">
        <f>VLOOKUP(G56,'MuleApps&lt;=&gt;MuleIntegrations'!B:C,2,FALSE)</f>
        <v>MUL-ICERTIS</v>
      </c>
      <c r="I56" t="str">
        <f>VLOOKUP(G56,'MuleApps&lt;=&gt;MuleIntegrations'!B:D,3,FALSE)</f>
        <v>File Transfer</v>
      </c>
    </row>
    <row r="57" spans="1:9" hidden="1">
      <c r="A57" s="14">
        <v>56</v>
      </c>
      <c r="B57" s="6" t="s">
        <v>287</v>
      </c>
      <c r="C57" s="6" t="s">
        <v>374</v>
      </c>
      <c r="D57" s="6" t="s">
        <v>8</v>
      </c>
      <c r="E57" s="6" t="s">
        <v>311</v>
      </c>
      <c r="F57" s="6" t="s">
        <v>8</v>
      </c>
      <c r="G57" t="s">
        <v>54</v>
      </c>
      <c r="H57" t="str">
        <f>VLOOKUP(G57,'MuleApps&lt;=&gt;MuleIntegrations'!B:C,2,FALSE)</f>
        <v>MUL-ICERTIS</v>
      </c>
      <c r="I57" t="str">
        <f>VLOOKUP(G57,'MuleApps&lt;=&gt;MuleIntegrations'!B:D,3,FALSE)</f>
        <v>File Transfer</v>
      </c>
    </row>
    <row r="58" spans="1:9" hidden="1">
      <c r="A58" s="14">
        <v>57</v>
      </c>
      <c r="B58" s="6" t="s">
        <v>287</v>
      </c>
      <c r="C58" s="6" t="s">
        <v>375</v>
      </c>
      <c r="D58" s="6" t="s">
        <v>8</v>
      </c>
      <c r="E58" s="6" t="s">
        <v>311</v>
      </c>
      <c r="F58" s="6" t="s">
        <v>8</v>
      </c>
      <c r="G58" t="s">
        <v>54</v>
      </c>
      <c r="H58" t="str">
        <f>VLOOKUP(G58,'MuleApps&lt;=&gt;MuleIntegrations'!B:C,2,FALSE)</f>
        <v>MUL-ICERTIS</v>
      </c>
      <c r="I58" t="str">
        <f>VLOOKUP(G58,'MuleApps&lt;=&gt;MuleIntegrations'!B:D,3,FALSE)</f>
        <v>File Transfer</v>
      </c>
    </row>
    <row r="59" spans="1:9" hidden="1">
      <c r="A59" s="14">
        <v>58</v>
      </c>
      <c r="B59" s="6" t="s">
        <v>287</v>
      </c>
      <c r="C59" s="6" t="s">
        <v>376</v>
      </c>
      <c r="D59" s="6" t="s">
        <v>8</v>
      </c>
      <c r="E59" s="6" t="s">
        <v>311</v>
      </c>
      <c r="F59" s="6" t="s">
        <v>8</v>
      </c>
      <c r="G59" t="s">
        <v>54</v>
      </c>
      <c r="H59" t="str">
        <f>VLOOKUP(G59,'MuleApps&lt;=&gt;MuleIntegrations'!B:C,2,FALSE)</f>
        <v>MUL-ICERTIS</v>
      </c>
      <c r="I59" t="str">
        <f>VLOOKUP(G59,'MuleApps&lt;=&gt;MuleIntegrations'!B:D,3,FALSE)</f>
        <v>File Transfer</v>
      </c>
    </row>
    <row r="60" spans="1:9" hidden="1">
      <c r="A60" s="14">
        <v>59</v>
      </c>
      <c r="B60" s="6" t="s">
        <v>287</v>
      </c>
      <c r="C60" s="6" t="s">
        <v>377</v>
      </c>
      <c r="D60" s="6" t="s">
        <v>378</v>
      </c>
      <c r="E60" s="6" t="s">
        <v>305</v>
      </c>
      <c r="F60" s="6" t="s">
        <v>8</v>
      </c>
      <c r="G60" t="s">
        <v>54</v>
      </c>
      <c r="H60" t="str">
        <f>VLOOKUP(G60,'MuleApps&lt;=&gt;MuleIntegrations'!B:C,2,FALSE)</f>
        <v>MUL-ICERTIS</v>
      </c>
      <c r="I60" t="str">
        <f>VLOOKUP(G60,'MuleApps&lt;=&gt;MuleIntegrations'!B:D,3,FALSE)</f>
        <v>File Transfer</v>
      </c>
    </row>
    <row r="61" spans="1:9" hidden="1">
      <c r="A61" s="14">
        <v>60</v>
      </c>
      <c r="B61" s="6" t="s">
        <v>287</v>
      </c>
      <c r="C61" s="6" t="s">
        <v>379</v>
      </c>
      <c r="D61" s="6" t="s">
        <v>8</v>
      </c>
      <c r="E61" s="6" t="s">
        <v>311</v>
      </c>
      <c r="F61" s="6" t="s">
        <v>8</v>
      </c>
      <c r="G61" t="s">
        <v>54</v>
      </c>
      <c r="H61" t="str">
        <f>VLOOKUP(G61,'MuleApps&lt;=&gt;MuleIntegrations'!B:C,2,FALSE)</f>
        <v>MUL-ICERTIS</v>
      </c>
      <c r="I61" t="str">
        <f>VLOOKUP(G61,'MuleApps&lt;=&gt;MuleIntegrations'!B:D,3,FALSE)</f>
        <v>File Transfer</v>
      </c>
    </row>
    <row r="62" spans="1:9" hidden="1">
      <c r="A62" s="14">
        <v>61</v>
      </c>
      <c r="B62" s="6" t="s">
        <v>287</v>
      </c>
      <c r="C62" s="6" t="s">
        <v>380</v>
      </c>
      <c r="D62" s="6" t="s">
        <v>8</v>
      </c>
      <c r="E62" s="6" t="s">
        <v>311</v>
      </c>
      <c r="F62" s="6" t="s">
        <v>8</v>
      </c>
      <c r="G62" t="s">
        <v>54</v>
      </c>
      <c r="H62" t="str">
        <f>VLOOKUP(G62,'MuleApps&lt;=&gt;MuleIntegrations'!B:C,2,FALSE)</f>
        <v>MUL-ICERTIS</v>
      </c>
      <c r="I62" t="str">
        <f>VLOOKUP(G62,'MuleApps&lt;=&gt;MuleIntegrations'!B:D,3,FALSE)</f>
        <v>File Transfer</v>
      </c>
    </row>
    <row r="63" spans="1:9" hidden="1">
      <c r="A63" s="14">
        <v>62</v>
      </c>
      <c r="B63" s="6" t="s">
        <v>286</v>
      </c>
      <c r="C63" s="6" t="s">
        <v>381</v>
      </c>
      <c r="D63" s="6" t="s">
        <v>8</v>
      </c>
      <c r="E63" s="6" t="s">
        <v>311</v>
      </c>
      <c r="F63" s="6" t="s">
        <v>8</v>
      </c>
      <c r="G63" t="s">
        <v>150</v>
      </c>
      <c r="H63" t="str">
        <f>VLOOKUP(G63,'MuleApps&lt;=&gt;MuleIntegrations'!B:C,2,FALSE)</f>
        <v>MUL-SALES-PIPELINE</v>
      </c>
      <c r="I63" t="str">
        <f>VLOOKUP(G63,'MuleApps&lt;=&gt;MuleIntegrations'!B:D,3,FALSE)</f>
        <v>Mixed</v>
      </c>
    </row>
    <row r="64" spans="1:9" hidden="1">
      <c r="A64" s="14">
        <v>63</v>
      </c>
      <c r="B64" s="6" t="s">
        <v>286</v>
      </c>
      <c r="C64" s="6" t="s">
        <v>382</v>
      </c>
      <c r="D64" s="6" t="s">
        <v>8</v>
      </c>
      <c r="E64" s="6" t="s">
        <v>311</v>
      </c>
      <c r="F64" s="6" t="s">
        <v>8</v>
      </c>
      <c r="G64" t="s">
        <v>150</v>
      </c>
      <c r="H64" t="str">
        <f>VLOOKUP(G64,'MuleApps&lt;=&gt;MuleIntegrations'!B:C,2,FALSE)</f>
        <v>MUL-SALES-PIPELINE</v>
      </c>
      <c r="I64" t="str">
        <f>VLOOKUP(G64,'MuleApps&lt;=&gt;MuleIntegrations'!B:D,3,FALSE)</f>
        <v>Mixed</v>
      </c>
    </row>
    <row r="65" spans="1:9" hidden="1">
      <c r="A65" s="14">
        <v>64</v>
      </c>
      <c r="B65" s="6" t="s">
        <v>248</v>
      </c>
      <c r="C65" s="6" t="s">
        <v>383</v>
      </c>
      <c r="D65" s="6" t="s">
        <v>8</v>
      </c>
      <c r="E65" s="6" t="s">
        <v>311</v>
      </c>
      <c r="F65" s="6" t="s">
        <v>8</v>
      </c>
      <c r="G65" t="s">
        <v>10</v>
      </c>
      <c r="H65" t="str">
        <f>VLOOKUP(G65,'MuleApps&lt;=&gt;MuleIntegrations'!B:C,2,FALSE)</f>
        <v>MUL-CONSOLIDATEDINVOICE</v>
      </c>
      <c r="I65" t="str">
        <f>VLOOKUP(G65,'MuleApps&lt;=&gt;MuleIntegrations'!B:D,3,FALSE)</f>
        <v>Mixed</v>
      </c>
    </row>
    <row r="66" spans="1:9">
      <c r="A66" s="14">
        <v>65</v>
      </c>
      <c r="B66" s="6" t="s">
        <v>248</v>
      </c>
      <c r="C66" s="6" t="s">
        <v>384</v>
      </c>
      <c r="D66" s="6" t="s">
        <v>385</v>
      </c>
      <c r="E66" s="6" t="s">
        <v>305</v>
      </c>
      <c r="F66" s="6" t="s">
        <v>8</v>
      </c>
      <c r="G66" t="s">
        <v>10</v>
      </c>
      <c r="H66" t="str">
        <f>VLOOKUP(G66,'MuleApps&lt;=&gt;MuleIntegrations'!B:C,2,FALSE)</f>
        <v>MUL-CONSOLIDATEDINVOICE</v>
      </c>
      <c r="I66" t="str">
        <f>VLOOKUP(G66,'MuleApps&lt;=&gt;MuleIntegrations'!B:D,3,FALSE)</f>
        <v>Mixed</v>
      </c>
    </row>
    <row r="67" spans="1:9" hidden="1">
      <c r="A67" s="14">
        <v>66</v>
      </c>
      <c r="B67" s="6" t="s">
        <v>248</v>
      </c>
      <c r="C67" s="6" t="s">
        <v>386</v>
      </c>
      <c r="D67" s="6" t="s">
        <v>8</v>
      </c>
      <c r="E67" s="6" t="s">
        <v>311</v>
      </c>
      <c r="F67" s="6" t="s">
        <v>8</v>
      </c>
      <c r="G67" t="s">
        <v>10</v>
      </c>
      <c r="H67" t="str">
        <f>VLOOKUP(G67,'MuleApps&lt;=&gt;MuleIntegrations'!B:C,2,FALSE)</f>
        <v>MUL-CONSOLIDATEDINVOICE</v>
      </c>
      <c r="I67" t="str">
        <f>VLOOKUP(G67,'MuleApps&lt;=&gt;MuleIntegrations'!B:D,3,FALSE)</f>
        <v>Mixed</v>
      </c>
    </row>
    <row r="68" spans="1:9">
      <c r="A68" s="14">
        <v>67</v>
      </c>
      <c r="B68" s="6" t="s">
        <v>248</v>
      </c>
      <c r="C68" s="6" t="s">
        <v>387</v>
      </c>
      <c r="D68" s="6" t="s">
        <v>388</v>
      </c>
      <c r="E68" s="6" t="s">
        <v>305</v>
      </c>
      <c r="F68" s="6" t="s">
        <v>8</v>
      </c>
      <c r="G68" t="s">
        <v>10</v>
      </c>
      <c r="H68" t="str">
        <f>VLOOKUP(G68,'MuleApps&lt;=&gt;MuleIntegrations'!B:C,2,FALSE)</f>
        <v>MUL-CONSOLIDATEDINVOICE</v>
      </c>
      <c r="I68" t="str">
        <f>VLOOKUP(G68,'MuleApps&lt;=&gt;MuleIntegrations'!B:D,3,FALSE)</f>
        <v>Mixed</v>
      </c>
    </row>
    <row r="69" spans="1:9" hidden="1">
      <c r="A69" s="14">
        <v>68</v>
      </c>
      <c r="B69" s="6" t="s">
        <v>248</v>
      </c>
      <c r="C69" s="6" t="s">
        <v>389</v>
      </c>
      <c r="D69" s="6" t="s">
        <v>8</v>
      </c>
      <c r="E69" s="6" t="s">
        <v>311</v>
      </c>
      <c r="F69" s="6" t="s">
        <v>8</v>
      </c>
      <c r="G69" t="s">
        <v>10</v>
      </c>
      <c r="H69" t="str">
        <f>VLOOKUP(G69,'MuleApps&lt;=&gt;MuleIntegrations'!B:C,2,FALSE)</f>
        <v>MUL-CONSOLIDATEDINVOICE</v>
      </c>
      <c r="I69" t="str">
        <f>VLOOKUP(G69,'MuleApps&lt;=&gt;MuleIntegrations'!B:D,3,FALSE)</f>
        <v>Mixed</v>
      </c>
    </row>
    <row r="70" spans="1:9">
      <c r="A70" s="14">
        <v>69</v>
      </c>
      <c r="B70" s="6" t="s">
        <v>248</v>
      </c>
      <c r="C70" s="6" t="s">
        <v>390</v>
      </c>
      <c r="D70" s="6" t="s">
        <v>391</v>
      </c>
      <c r="E70" s="6" t="s">
        <v>305</v>
      </c>
      <c r="F70" s="6" t="s">
        <v>8</v>
      </c>
      <c r="G70" t="s">
        <v>10</v>
      </c>
      <c r="H70" t="str">
        <f>VLOOKUP(G70,'MuleApps&lt;=&gt;MuleIntegrations'!B:C,2,FALSE)</f>
        <v>MUL-CONSOLIDATEDINVOICE</v>
      </c>
      <c r="I70" t="str">
        <f>VLOOKUP(G70,'MuleApps&lt;=&gt;MuleIntegrations'!B:D,3,FALSE)</f>
        <v>Mixed</v>
      </c>
    </row>
    <row r="71" spans="1:9" hidden="1">
      <c r="A71" s="14">
        <v>70</v>
      </c>
      <c r="B71" s="6" t="s">
        <v>248</v>
      </c>
      <c r="C71" s="6" t="s">
        <v>392</v>
      </c>
      <c r="D71" s="6" t="s">
        <v>8</v>
      </c>
      <c r="E71" s="6" t="s">
        <v>311</v>
      </c>
      <c r="F71" s="6" t="s">
        <v>8</v>
      </c>
      <c r="G71" t="s">
        <v>10</v>
      </c>
      <c r="H71" t="str">
        <f>VLOOKUP(G71,'MuleApps&lt;=&gt;MuleIntegrations'!B:C,2,FALSE)</f>
        <v>MUL-CONSOLIDATEDINVOICE</v>
      </c>
      <c r="I71" t="str">
        <f>VLOOKUP(G71,'MuleApps&lt;=&gt;MuleIntegrations'!B:D,3,FALSE)</f>
        <v>Mixed</v>
      </c>
    </row>
    <row r="72" spans="1:9" hidden="1">
      <c r="A72" s="14">
        <v>71</v>
      </c>
      <c r="B72" s="6" t="s">
        <v>248</v>
      </c>
      <c r="C72" s="6" t="s">
        <v>393</v>
      </c>
      <c r="D72" s="6" t="s">
        <v>8</v>
      </c>
      <c r="E72" s="6" t="s">
        <v>311</v>
      </c>
      <c r="F72" s="6" t="s">
        <v>8</v>
      </c>
      <c r="G72" t="s">
        <v>10</v>
      </c>
      <c r="H72" t="str">
        <f>VLOOKUP(G72,'MuleApps&lt;=&gt;MuleIntegrations'!B:C,2,FALSE)</f>
        <v>MUL-CONSOLIDATEDINVOICE</v>
      </c>
      <c r="I72" t="str">
        <f>VLOOKUP(G72,'MuleApps&lt;=&gt;MuleIntegrations'!B:D,3,FALSE)</f>
        <v>Mixed</v>
      </c>
    </row>
    <row r="73" spans="1:9">
      <c r="A73" s="14">
        <v>72</v>
      </c>
      <c r="B73" s="6" t="s">
        <v>248</v>
      </c>
      <c r="C73" s="6" t="s">
        <v>394</v>
      </c>
      <c r="D73" s="6" t="s">
        <v>395</v>
      </c>
      <c r="E73" s="6" t="s">
        <v>305</v>
      </c>
      <c r="F73" s="6" t="s">
        <v>8</v>
      </c>
      <c r="G73" t="s">
        <v>10</v>
      </c>
      <c r="H73" t="str">
        <f>VLOOKUP(G73,'MuleApps&lt;=&gt;MuleIntegrations'!B:C,2,FALSE)</f>
        <v>MUL-CONSOLIDATEDINVOICE</v>
      </c>
      <c r="I73" t="str">
        <f>VLOOKUP(G73,'MuleApps&lt;=&gt;MuleIntegrations'!B:D,3,FALSE)</f>
        <v>Mixed</v>
      </c>
    </row>
    <row r="74" spans="1:9">
      <c r="A74" s="14">
        <v>73</v>
      </c>
      <c r="B74" s="6" t="s">
        <v>248</v>
      </c>
      <c r="C74" s="6" t="s">
        <v>396</v>
      </c>
      <c r="D74" s="6" t="s">
        <v>397</v>
      </c>
      <c r="E74" s="6" t="s">
        <v>305</v>
      </c>
      <c r="F74" s="6" t="s">
        <v>8</v>
      </c>
      <c r="G74" t="s">
        <v>10</v>
      </c>
      <c r="H74" t="str">
        <f>VLOOKUP(G74,'MuleApps&lt;=&gt;MuleIntegrations'!B:C,2,FALSE)</f>
        <v>MUL-CONSOLIDATEDINVOICE</v>
      </c>
      <c r="I74" t="str">
        <f>VLOOKUP(G74,'MuleApps&lt;=&gt;MuleIntegrations'!B:D,3,FALSE)</f>
        <v>Mixed</v>
      </c>
    </row>
    <row r="75" spans="1:9">
      <c r="A75" s="14">
        <v>74</v>
      </c>
      <c r="B75" s="6" t="s">
        <v>297</v>
      </c>
      <c r="C75" s="6" t="s">
        <v>398</v>
      </c>
      <c r="D75" s="6" t="s">
        <v>399</v>
      </c>
      <c r="E75" s="6" t="s">
        <v>305</v>
      </c>
      <c r="F75" s="6" t="s">
        <v>8</v>
      </c>
      <c r="G75" t="s">
        <v>148</v>
      </c>
      <c r="H75" t="str">
        <f>VLOOKUP(G75,'MuleApps&lt;=&gt;MuleIntegrations'!B:C,2,FALSE)</f>
        <v>MUL-SALES-PIPELINE</v>
      </c>
      <c r="I75" t="str">
        <f>VLOOKUP(G75,'MuleApps&lt;=&gt;MuleIntegrations'!B:D,3,FALSE)</f>
        <v>Mixed</v>
      </c>
    </row>
    <row r="76" spans="1:9" hidden="1">
      <c r="A76" s="14">
        <v>75</v>
      </c>
      <c r="B76" s="6" t="s">
        <v>288</v>
      </c>
      <c r="C76" s="6" t="s">
        <v>400</v>
      </c>
      <c r="D76" s="6" t="s">
        <v>8</v>
      </c>
      <c r="E76" s="6" t="s">
        <v>311</v>
      </c>
      <c r="F76" s="6" t="s">
        <v>8</v>
      </c>
      <c r="G76" t="s">
        <v>60</v>
      </c>
      <c r="H76" t="str">
        <f>VLOOKUP(G76,'MuleApps&lt;=&gt;MuleIntegrations'!B:C,2,FALSE)</f>
        <v>MUL-TRUECOMMERCE</v>
      </c>
      <c r="I76" t="str">
        <f>VLOOKUP(G76,'MuleApps&lt;=&gt;MuleIntegrations'!B:D,3,FALSE)</f>
        <v>File Transfer</v>
      </c>
    </row>
    <row r="77" spans="1:9" hidden="1">
      <c r="A77" s="14">
        <v>76</v>
      </c>
      <c r="B77" s="6" t="s">
        <v>288</v>
      </c>
      <c r="C77" s="6" t="s">
        <v>401</v>
      </c>
      <c r="D77" s="6" t="s">
        <v>402</v>
      </c>
      <c r="E77" s="6" t="s">
        <v>305</v>
      </c>
      <c r="F77" s="6" t="s">
        <v>8</v>
      </c>
      <c r="G77" t="s">
        <v>60</v>
      </c>
      <c r="H77" t="str">
        <f>VLOOKUP(G77,'MuleApps&lt;=&gt;MuleIntegrations'!B:C,2,FALSE)</f>
        <v>MUL-TRUECOMMERCE</v>
      </c>
      <c r="I77" t="str">
        <f>VLOOKUP(G77,'MuleApps&lt;=&gt;MuleIntegrations'!B:D,3,FALSE)</f>
        <v>File Transfer</v>
      </c>
    </row>
    <row r="78" spans="1:9" hidden="1">
      <c r="A78" s="14">
        <v>77</v>
      </c>
      <c r="B78" s="6" t="s">
        <v>288</v>
      </c>
      <c r="C78" s="6" t="s">
        <v>403</v>
      </c>
      <c r="D78" s="6" t="s">
        <v>8</v>
      </c>
      <c r="E78" s="6" t="s">
        <v>311</v>
      </c>
      <c r="F78" s="6" t="s">
        <v>8</v>
      </c>
      <c r="G78" t="s">
        <v>60</v>
      </c>
      <c r="H78" t="str">
        <f>VLOOKUP(G78,'MuleApps&lt;=&gt;MuleIntegrations'!B:C,2,FALSE)</f>
        <v>MUL-TRUECOMMERCE</v>
      </c>
      <c r="I78" t="str">
        <f>VLOOKUP(G78,'MuleApps&lt;=&gt;MuleIntegrations'!B:D,3,FALSE)</f>
        <v>File Transfer</v>
      </c>
    </row>
    <row r="79" spans="1:9" hidden="1">
      <c r="A79" s="14">
        <v>78</v>
      </c>
      <c r="B79" s="6" t="s">
        <v>288</v>
      </c>
      <c r="C79" s="6" t="s">
        <v>404</v>
      </c>
      <c r="D79" s="6" t="s">
        <v>8</v>
      </c>
      <c r="E79" s="6" t="s">
        <v>311</v>
      </c>
      <c r="F79" s="6" t="s">
        <v>8</v>
      </c>
      <c r="G79" t="s">
        <v>60</v>
      </c>
      <c r="H79" t="str">
        <f>VLOOKUP(G79,'MuleApps&lt;=&gt;MuleIntegrations'!B:C,2,FALSE)</f>
        <v>MUL-TRUECOMMERCE</v>
      </c>
      <c r="I79" t="str">
        <f>VLOOKUP(G79,'MuleApps&lt;=&gt;MuleIntegrations'!B:D,3,FALSE)</f>
        <v>File Transfer</v>
      </c>
    </row>
    <row r="80" spans="1:9" hidden="1">
      <c r="A80" s="14">
        <v>79</v>
      </c>
      <c r="B80" s="6" t="s">
        <v>288</v>
      </c>
      <c r="C80" s="6" t="s">
        <v>405</v>
      </c>
      <c r="D80" s="6" t="s">
        <v>8</v>
      </c>
      <c r="E80" s="6" t="s">
        <v>311</v>
      </c>
      <c r="F80" s="6" t="s">
        <v>8</v>
      </c>
      <c r="G80" t="s">
        <v>60</v>
      </c>
      <c r="H80" t="str">
        <f>VLOOKUP(G80,'MuleApps&lt;=&gt;MuleIntegrations'!B:C,2,FALSE)</f>
        <v>MUL-TRUECOMMERCE</v>
      </c>
      <c r="I80" t="str">
        <f>VLOOKUP(G80,'MuleApps&lt;=&gt;MuleIntegrations'!B:D,3,FALSE)</f>
        <v>File Transfer</v>
      </c>
    </row>
    <row r="81" spans="1:9" hidden="1">
      <c r="A81" s="14">
        <v>80</v>
      </c>
      <c r="B81" s="6" t="s">
        <v>288</v>
      </c>
      <c r="C81" s="6" t="s">
        <v>406</v>
      </c>
      <c r="D81" s="6" t="s">
        <v>407</v>
      </c>
      <c r="E81" s="6" t="s">
        <v>305</v>
      </c>
      <c r="F81" s="6" t="s">
        <v>8</v>
      </c>
      <c r="G81" t="s">
        <v>60</v>
      </c>
      <c r="H81" t="str">
        <f>VLOOKUP(G81,'MuleApps&lt;=&gt;MuleIntegrations'!B:C,2,FALSE)</f>
        <v>MUL-TRUECOMMERCE</v>
      </c>
      <c r="I81" t="str">
        <f>VLOOKUP(G81,'MuleApps&lt;=&gt;MuleIntegrations'!B:D,3,FALSE)</f>
        <v>File Transfer</v>
      </c>
    </row>
    <row r="82" spans="1:9" hidden="1">
      <c r="A82" s="14">
        <v>81</v>
      </c>
      <c r="B82" s="6" t="s">
        <v>288</v>
      </c>
      <c r="C82" s="6" t="s">
        <v>408</v>
      </c>
      <c r="D82" s="6" t="s">
        <v>407</v>
      </c>
      <c r="E82" s="6" t="s">
        <v>305</v>
      </c>
      <c r="F82" s="6" t="s">
        <v>8</v>
      </c>
      <c r="G82" t="s">
        <v>60</v>
      </c>
      <c r="H82" t="str">
        <f>VLOOKUP(G82,'MuleApps&lt;=&gt;MuleIntegrations'!B:C,2,FALSE)</f>
        <v>MUL-TRUECOMMERCE</v>
      </c>
      <c r="I82" t="str">
        <f>VLOOKUP(G82,'MuleApps&lt;=&gt;MuleIntegrations'!B:D,3,FALSE)</f>
        <v>File Transfer</v>
      </c>
    </row>
    <row r="83" spans="1:9" hidden="1">
      <c r="A83" s="14">
        <v>82</v>
      </c>
      <c r="B83" s="6" t="s">
        <v>288</v>
      </c>
      <c r="C83" s="6" t="s">
        <v>409</v>
      </c>
      <c r="D83" s="6" t="s">
        <v>8</v>
      </c>
      <c r="E83" s="6" t="s">
        <v>311</v>
      </c>
      <c r="F83" s="6" t="s">
        <v>8</v>
      </c>
      <c r="G83" t="s">
        <v>60</v>
      </c>
      <c r="H83" t="str">
        <f>VLOOKUP(G83,'MuleApps&lt;=&gt;MuleIntegrations'!B:C,2,FALSE)</f>
        <v>MUL-TRUECOMMERCE</v>
      </c>
      <c r="I83" t="str">
        <f>VLOOKUP(G83,'MuleApps&lt;=&gt;MuleIntegrations'!B:D,3,FALSE)</f>
        <v>File Transfer</v>
      </c>
    </row>
    <row r="84" spans="1:9" hidden="1">
      <c r="A84" s="14">
        <v>83</v>
      </c>
      <c r="B84" s="6" t="s">
        <v>288</v>
      </c>
      <c r="C84" s="6" t="s">
        <v>410</v>
      </c>
      <c r="D84" s="6" t="s">
        <v>395</v>
      </c>
      <c r="E84" s="6" t="s">
        <v>305</v>
      </c>
      <c r="F84" s="6" t="s">
        <v>8</v>
      </c>
      <c r="G84" t="s">
        <v>60</v>
      </c>
      <c r="H84" t="str">
        <f>VLOOKUP(G84,'MuleApps&lt;=&gt;MuleIntegrations'!B:C,2,FALSE)</f>
        <v>MUL-TRUECOMMERCE</v>
      </c>
      <c r="I84" t="str">
        <f>VLOOKUP(G84,'MuleApps&lt;=&gt;MuleIntegrations'!B:D,3,FALSE)</f>
        <v>File Transfer</v>
      </c>
    </row>
    <row r="85" spans="1:9" hidden="1">
      <c r="A85" s="14">
        <v>84</v>
      </c>
      <c r="B85" s="6" t="s">
        <v>288</v>
      </c>
      <c r="C85" s="6" t="s">
        <v>411</v>
      </c>
      <c r="D85" s="6" t="s">
        <v>395</v>
      </c>
      <c r="E85" s="6" t="s">
        <v>305</v>
      </c>
      <c r="F85" s="6" t="s">
        <v>8</v>
      </c>
      <c r="G85" t="s">
        <v>60</v>
      </c>
      <c r="H85" t="str">
        <f>VLOOKUP(G85,'MuleApps&lt;=&gt;MuleIntegrations'!B:C,2,FALSE)</f>
        <v>MUL-TRUECOMMERCE</v>
      </c>
      <c r="I85" t="str">
        <f>VLOOKUP(G85,'MuleApps&lt;=&gt;MuleIntegrations'!B:D,3,FALSE)</f>
        <v>File Transfer</v>
      </c>
    </row>
    <row r="86" spans="1:9" hidden="1">
      <c r="A86" s="14">
        <v>85</v>
      </c>
      <c r="B86" s="6" t="s">
        <v>288</v>
      </c>
      <c r="C86" s="6" t="s">
        <v>412</v>
      </c>
      <c r="D86" s="6" t="s">
        <v>8</v>
      </c>
      <c r="E86" s="6" t="s">
        <v>311</v>
      </c>
      <c r="F86" s="6" t="s">
        <v>8</v>
      </c>
      <c r="G86" t="s">
        <v>60</v>
      </c>
      <c r="H86" t="str">
        <f>VLOOKUP(G86,'MuleApps&lt;=&gt;MuleIntegrations'!B:C,2,FALSE)</f>
        <v>MUL-TRUECOMMERCE</v>
      </c>
      <c r="I86" t="str">
        <f>VLOOKUP(G86,'MuleApps&lt;=&gt;MuleIntegrations'!B:D,3,FALSE)</f>
        <v>File Transfer</v>
      </c>
    </row>
    <row r="87" spans="1:9" hidden="1">
      <c r="A87" s="14">
        <v>86</v>
      </c>
      <c r="B87" s="6" t="s">
        <v>288</v>
      </c>
      <c r="C87" s="6" t="s">
        <v>413</v>
      </c>
      <c r="D87" s="6" t="s">
        <v>8</v>
      </c>
      <c r="E87" s="6" t="s">
        <v>311</v>
      </c>
      <c r="F87" s="6" t="s">
        <v>8</v>
      </c>
      <c r="G87" t="s">
        <v>60</v>
      </c>
      <c r="H87" t="str">
        <f>VLOOKUP(G87,'MuleApps&lt;=&gt;MuleIntegrations'!B:C,2,FALSE)</f>
        <v>MUL-TRUECOMMERCE</v>
      </c>
      <c r="I87" t="str">
        <f>VLOOKUP(G87,'MuleApps&lt;=&gt;MuleIntegrations'!B:D,3,FALSE)</f>
        <v>File Transfer</v>
      </c>
    </row>
    <row r="88" spans="1:9" hidden="1">
      <c r="A88" s="14">
        <v>87</v>
      </c>
      <c r="B88" s="6" t="s">
        <v>288</v>
      </c>
      <c r="C88" s="6" t="s">
        <v>414</v>
      </c>
      <c r="D88" s="6" t="s">
        <v>8</v>
      </c>
      <c r="E88" s="6" t="s">
        <v>311</v>
      </c>
      <c r="F88" s="6" t="s">
        <v>8</v>
      </c>
      <c r="G88" t="s">
        <v>60</v>
      </c>
      <c r="H88" t="str">
        <f>VLOOKUP(G88,'MuleApps&lt;=&gt;MuleIntegrations'!B:C,2,FALSE)</f>
        <v>MUL-TRUECOMMERCE</v>
      </c>
      <c r="I88" t="str">
        <f>VLOOKUP(G88,'MuleApps&lt;=&gt;MuleIntegrations'!B:D,3,FALSE)</f>
        <v>File Transfer</v>
      </c>
    </row>
    <row r="89" spans="1:9" hidden="1">
      <c r="A89" s="14">
        <v>88</v>
      </c>
      <c r="B89" s="6" t="s">
        <v>288</v>
      </c>
      <c r="C89" s="6" t="s">
        <v>415</v>
      </c>
      <c r="D89" s="6" t="s">
        <v>8</v>
      </c>
      <c r="E89" s="6" t="s">
        <v>311</v>
      </c>
      <c r="F89" s="6" t="s">
        <v>8</v>
      </c>
      <c r="G89" t="s">
        <v>60</v>
      </c>
      <c r="H89" t="str">
        <f>VLOOKUP(G89,'MuleApps&lt;=&gt;MuleIntegrations'!B:C,2,FALSE)</f>
        <v>MUL-TRUECOMMERCE</v>
      </c>
      <c r="I89" t="str">
        <f>VLOOKUP(G89,'MuleApps&lt;=&gt;MuleIntegrations'!B:D,3,FALSE)</f>
        <v>File Transfer</v>
      </c>
    </row>
    <row r="90" spans="1:9" hidden="1">
      <c r="A90" s="14">
        <v>89</v>
      </c>
      <c r="B90" s="6" t="s">
        <v>288</v>
      </c>
      <c r="C90" s="6" t="s">
        <v>416</v>
      </c>
      <c r="D90" s="6" t="s">
        <v>417</v>
      </c>
      <c r="E90" s="6" t="s">
        <v>305</v>
      </c>
      <c r="F90" s="6" t="s">
        <v>8</v>
      </c>
      <c r="G90" t="s">
        <v>60</v>
      </c>
      <c r="H90" t="str">
        <f>VLOOKUP(G90,'MuleApps&lt;=&gt;MuleIntegrations'!B:C,2,FALSE)</f>
        <v>MUL-TRUECOMMERCE</v>
      </c>
      <c r="I90" t="str">
        <f>VLOOKUP(G90,'MuleApps&lt;=&gt;MuleIntegrations'!B:D,3,FALSE)</f>
        <v>File Transfer</v>
      </c>
    </row>
    <row r="91" spans="1:9" hidden="1">
      <c r="A91" s="14">
        <v>90</v>
      </c>
      <c r="B91" s="6" t="s">
        <v>288</v>
      </c>
      <c r="C91" s="6" t="s">
        <v>418</v>
      </c>
      <c r="D91" s="6" t="s">
        <v>8</v>
      </c>
      <c r="E91" s="6" t="s">
        <v>311</v>
      </c>
      <c r="F91" s="6" t="s">
        <v>8</v>
      </c>
      <c r="G91" t="s">
        <v>60</v>
      </c>
      <c r="H91" t="str">
        <f>VLOOKUP(G91,'MuleApps&lt;=&gt;MuleIntegrations'!B:C,2,FALSE)</f>
        <v>MUL-TRUECOMMERCE</v>
      </c>
      <c r="I91" t="str">
        <f>VLOOKUP(G91,'MuleApps&lt;=&gt;MuleIntegrations'!B:D,3,FALSE)</f>
        <v>File Transfer</v>
      </c>
    </row>
    <row r="92" spans="1:9">
      <c r="A92" s="14">
        <v>91</v>
      </c>
      <c r="B92" s="6" t="s">
        <v>293</v>
      </c>
      <c r="C92" s="6" t="s">
        <v>419</v>
      </c>
      <c r="D92" s="6" t="s">
        <v>420</v>
      </c>
      <c r="E92" s="6" t="s">
        <v>305</v>
      </c>
      <c r="F92" s="6" t="s">
        <v>8</v>
      </c>
      <c r="G92" t="s">
        <v>106</v>
      </c>
      <c r="H92" t="str">
        <f>VLOOKUP(G92,'MuleApps&lt;=&gt;MuleIntegrations'!B:C,2,FALSE)</f>
        <v>MUL-PUNCHOUT</v>
      </c>
      <c r="I92" t="str">
        <f>VLOOKUP(G92,'MuleApps&lt;=&gt;MuleIntegrations'!B:D,3,FALSE)</f>
        <v>API</v>
      </c>
    </row>
    <row r="93" spans="1:9">
      <c r="A93" s="14">
        <v>92</v>
      </c>
      <c r="B93" s="6" t="s">
        <v>188</v>
      </c>
      <c r="C93" s="6" t="s">
        <v>421</v>
      </c>
      <c r="D93" s="6" t="s">
        <v>422</v>
      </c>
      <c r="E93" s="6" t="s">
        <v>305</v>
      </c>
      <c r="F93" s="6" t="s">
        <v>8</v>
      </c>
      <c r="G93" t="s">
        <v>102</v>
      </c>
      <c r="H93" t="str">
        <f>VLOOKUP(G93,'MuleApps&lt;=&gt;MuleIntegrations'!B:C,2,FALSE)</f>
        <v>MUL-INVENTORYAUTOMATION</v>
      </c>
      <c r="I93" t="str">
        <f>VLOOKUP(G93,'MuleApps&lt;=&gt;MuleIntegrations'!B:D,3,FALSE)</f>
        <v>Mixed</v>
      </c>
    </row>
    <row r="94" spans="1:9">
      <c r="A94" s="14">
        <v>93</v>
      </c>
      <c r="B94" s="6" t="s">
        <v>188</v>
      </c>
      <c r="C94" s="6" t="s">
        <v>423</v>
      </c>
      <c r="D94" s="6" t="s">
        <v>424</v>
      </c>
      <c r="E94" s="6" t="s">
        <v>305</v>
      </c>
      <c r="F94" s="6" t="s">
        <v>8</v>
      </c>
      <c r="G94" t="s">
        <v>102</v>
      </c>
      <c r="H94" t="str">
        <f>VLOOKUP(G94,'MuleApps&lt;=&gt;MuleIntegrations'!B:C,2,FALSE)</f>
        <v>MUL-INVENTORYAUTOMATION</v>
      </c>
      <c r="I94" t="str">
        <f>VLOOKUP(G94,'MuleApps&lt;=&gt;MuleIntegrations'!B:D,3,FALSE)</f>
        <v>Mixed</v>
      </c>
    </row>
    <row r="95" spans="1:9">
      <c r="A95" s="14">
        <v>94</v>
      </c>
      <c r="B95" s="6" t="s">
        <v>188</v>
      </c>
      <c r="C95" s="6" t="s">
        <v>425</v>
      </c>
      <c r="D95" s="6" t="s">
        <v>426</v>
      </c>
      <c r="E95" s="6" t="s">
        <v>305</v>
      </c>
      <c r="F95" s="6" t="s">
        <v>8</v>
      </c>
      <c r="G95" t="s">
        <v>102</v>
      </c>
      <c r="H95" t="str">
        <f>VLOOKUP(G95,'MuleApps&lt;=&gt;MuleIntegrations'!B:C,2,FALSE)</f>
        <v>MUL-INVENTORYAUTOMATION</v>
      </c>
      <c r="I95" t="str">
        <f>VLOOKUP(G95,'MuleApps&lt;=&gt;MuleIntegrations'!B:D,3,FALSE)</f>
        <v>Mixed</v>
      </c>
    </row>
    <row r="96" spans="1:9">
      <c r="A96" s="14">
        <v>95</v>
      </c>
      <c r="B96" s="6" t="s">
        <v>188</v>
      </c>
      <c r="C96" s="6" t="s">
        <v>427</v>
      </c>
      <c r="D96" s="6" t="s">
        <v>428</v>
      </c>
      <c r="E96" s="6" t="s">
        <v>305</v>
      </c>
      <c r="F96" s="6" t="s">
        <v>8</v>
      </c>
      <c r="G96" t="s">
        <v>102</v>
      </c>
      <c r="H96" t="str">
        <f>VLOOKUP(G96,'MuleApps&lt;=&gt;MuleIntegrations'!B:C,2,FALSE)</f>
        <v>MUL-INVENTORYAUTOMATION</v>
      </c>
      <c r="I96" t="str">
        <f>VLOOKUP(G96,'MuleApps&lt;=&gt;MuleIntegrations'!B:D,3,FALSE)</f>
        <v>Mixed</v>
      </c>
    </row>
    <row r="97" spans="1:9">
      <c r="A97" s="14">
        <v>96</v>
      </c>
      <c r="B97" s="6" t="s">
        <v>188</v>
      </c>
      <c r="C97" s="6" t="s">
        <v>429</v>
      </c>
      <c r="D97" s="6" t="s">
        <v>430</v>
      </c>
      <c r="E97" s="6" t="s">
        <v>305</v>
      </c>
      <c r="F97" s="6" t="s">
        <v>8</v>
      </c>
      <c r="G97" t="s">
        <v>102</v>
      </c>
      <c r="H97" t="str">
        <f>VLOOKUP(G97,'MuleApps&lt;=&gt;MuleIntegrations'!B:C,2,FALSE)</f>
        <v>MUL-INVENTORYAUTOMATION</v>
      </c>
      <c r="I97" t="str">
        <f>VLOOKUP(G97,'MuleApps&lt;=&gt;MuleIntegrations'!B:D,3,FALSE)</f>
        <v>Mixed</v>
      </c>
    </row>
    <row r="98" spans="1:9">
      <c r="A98" s="14">
        <v>97</v>
      </c>
      <c r="B98" s="6" t="s">
        <v>188</v>
      </c>
      <c r="C98" s="6" t="s">
        <v>431</v>
      </c>
      <c r="D98" s="6" t="s">
        <v>432</v>
      </c>
      <c r="E98" s="6" t="s">
        <v>305</v>
      </c>
      <c r="F98" s="6" t="s">
        <v>8</v>
      </c>
      <c r="G98" t="s">
        <v>102</v>
      </c>
      <c r="H98" t="str">
        <f>VLOOKUP(G98,'MuleApps&lt;=&gt;MuleIntegrations'!B:C,2,FALSE)</f>
        <v>MUL-INVENTORYAUTOMATION</v>
      </c>
      <c r="I98" t="str">
        <f>VLOOKUP(G98,'MuleApps&lt;=&gt;MuleIntegrations'!B:D,3,FALSE)</f>
        <v>Mixed</v>
      </c>
    </row>
    <row r="99" spans="1:9">
      <c r="A99" s="14">
        <v>98</v>
      </c>
      <c r="B99" s="6" t="s">
        <v>207</v>
      </c>
      <c r="C99" s="6" t="s">
        <v>433</v>
      </c>
      <c r="D99" s="6" t="s">
        <v>434</v>
      </c>
      <c r="E99" s="6" t="s">
        <v>305</v>
      </c>
      <c r="F99" s="6" t="s">
        <v>8</v>
      </c>
      <c r="G99" t="s">
        <v>172</v>
      </c>
      <c r="H99" t="str">
        <f>VLOOKUP(G99,'MuleApps&lt;=&gt;MuleIntegrations'!B:C,2,FALSE)</f>
        <v>MUL-CONCUR</v>
      </c>
      <c r="I99" t="str">
        <f>VLOOKUP(G99,'MuleApps&lt;=&gt;MuleIntegrations'!B:D,3,FALSE)</f>
        <v>Mixed</v>
      </c>
    </row>
    <row r="100" spans="1:9">
      <c r="A100" s="14">
        <v>99</v>
      </c>
      <c r="B100" s="6" t="s">
        <v>274</v>
      </c>
      <c r="C100" s="6" t="s">
        <v>435</v>
      </c>
      <c r="D100" s="6" t="s">
        <v>436</v>
      </c>
      <c r="E100" s="6" t="s">
        <v>305</v>
      </c>
      <c r="F100" s="6" t="s">
        <v>8</v>
      </c>
      <c r="G100" t="s">
        <v>19</v>
      </c>
      <c r="H100" t="str">
        <f>VLOOKUP(G100,'MuleApps&lt;=&gt;MuleIntegrations'!B:C,2,FALSE)</f>
        <v>MUL-DIGITALASSET</v>
      </c>
      <c r="I100" t="str">
        <f>VLOOKUP(G100,'MuleApps&lt;=&gt;MuleIntegrations'!B:D,3,FALSE)</f>
        <v>API</v>
      </c>
    </row>
    <row r="101" spans="1:9" hidden="1">
      <c r="A101" s="14">
        <v>100</v>
      </c>
      <c r="B101" s="6" t="s">
        <v>274</v>
      </c>
      <c r="C101" s="6" t="s">
        <v>437</v>
      </c>
      <c r="D101" s="6" t="s">
        <v>8</v>
      </c>
      <c r="E101" s="6" t="s">
        <v>311</v>
      </c>
      <c r="F101" s="6" t="s">
        <v>8</v>
      </c>
      <c r="G101" t="s">
        <v>19</v>
      </c>
      <c r="H101" t="str">
        <f>VLOOKUP(G101,'MuleApps&lt;=&gt;MuleIntegrations'!B:C,2,FALSE)</f>
        <v>MUL-DIGITALASSET</v>
      </c>
      <c r="I101" t="str">
        <f>VLOOKUP(G101,'MuleApps&lt;=&gt;MuleIntegrations'!B:D,3,FALSE)</f>
        <v>API</v>
      </c>
    </row>
    <row r="102" spans="1:9">
      <c r="A102" s="14">
        <v>101</v>
      </c>
      <c r="B102" s="6" t="s">
        <v>274</v>
      </c>
      <c r="C102" s="6" t="s">
        <v>438</v>
      </c>
      <c r="D102" s="6" t="s">
        <v>439</v>
      </c>
      <c r="E102" s="6" t="s">
        <v>305</v>
      </c>
      <c r="F102" s="6" t="s">
        <v>8</v>
      </c>
      <c r="G102" t="s">
        <v>19</v>
      </c>
      <c r="H102" t="str">
        <f>VLOOKUP(G102,'MuleApps&lt;=&gt;MuleIntegrations'!B:C,2,FALSE)</f>
        <v>MUL-DIGITALASSET</v>
      </c>
      <c r="I102" t="str">
        <f>VLOOKUP(G102,'MuleApps&lt;=&gt;MuleIntegrations'!B:D,3,FALSE)</f>
        <v>API</v>
      </c>
    </row>
    <row r="103" spans="1:9" hidden="1">
      <c r="A103" s="14">
        <v>102</v>
      </c>
      <c r="B103" s="6" t="s">
        <v>274</v>
      </c>
      <c r="C103" s="6" t="s">
        <v>440</v>
      </c>
      <c r="D103" s="6" t="s">
        <v>8</v>
      </c>
      <c r="E103" s="6" t="s">
        <v>311</v>
      </c>
      <c r="F103" s="6" t="s">
        <v>8</v>
      </c>
      <c r="G103" t="s">
        <v>19</v>
      </c>
      <c r="H103" t="str">
        <f>VLOOKUP(G103,'MuleApps&lt;=&gt;MuleIntegrations'!B:C,2,FALSE)</f>
        <v>MUL-DIGITALASSET</v>
      </c>
      <c r="I103" t="str">
        <f>VLOOKUP(G103,'MuleApps&lt;=&gt;MuleIntegrations'!B:D,3,FALSE)</f>
        <v>API</v>
      </c>
    </row>
    <row r="104" spans="1:9" hidden="1">
      <c r="A104" s="14">
        <v>103</v>
      </c>
      <c r="B104" s="6" t="s">
        <v>268</v>
      </c>
      <c r="C104" s="6" t="s">
        <v>441</v>
      </c>
      <c r="D104" s="6" t="s">
        <v>8</v>
      </c>
      <c r="E104" s="6" t="s">
        <v>311</v>
      </c>
      <c r="F104" s="6" t="s">
        <v>8</v>
      </c>
      <c r="G104" t="s">
        <v>87</v>
      </c>
      <c r="H104" t="str">
        <f>VLOOKUP(G104,'MuleApps&lt;=&gt;MuleIntegrations'!B:C,2,FALSE)</f>
        <v>MUL-SUPPLIER-OCR</v>
      </c>
      <c r="I104" t="str">
        <f>VLOOKUP(G104,'MuleApps&lt;=&gt;MuleIntegrations'!B:D,3,FALSE)</f>
        <v>File Transfer</v>
      </c>
    </row>
    <row r="105" spans="1:9" hidden="1">
      <c r="A105" s="14">
        <v>104</v>
      </c>
      <c r="B105" s="6" t="s">
        <v>231</v>
      </c>
      <c r="C105" s="6" t="s">
        <v>442</v>
      </c>
      <c r="D105" s="6" t="s">
        <v>8</v>
      </c>
      <c r="E105" s="6" t="s">
        <v>311</v>
      </c>
      <c r="F105" s="6" t="s">
        <v>8</v>
      </c>
      <c r="G105" t="s">
        <v>73</v>
      </c>
      <c r="H105" t="str">
        <f>VLOOKUP(G105,'MuleApps&lt;=&gt;MuleIntegrations'!B:C,2,FALSE)</f>
        <v>MUL-PRODUCT-FEED</v>
      </c>
      <c r="I105" t="str">
        <f>VLOOKUP(G105,'MuleApps&lt;=&gt;MuleIntegrations'!B:D,3,FALSE)</f>
        <v>Mixed</v>
      </c>
    </row>
    <row r="106" spans="1:9">
      <c r="A106" s="14">
        <v>105</v>
      </c>
      <c r="B106" s="6" t="s">
        <v>231</v>
      </c>
      <c r="C106" s="6" t="s">
        <v>443</v>
      </c>
      <c r="D106" s="6" t="s">
        <v>444</v>
      </c>
      <c r="E106" s="6" t="s">
        <v>305</v>
      </c>
      <c r="F106" s="6" t="s">
        <v>8</v>
      </c>
      <c r="G106" t="s">
        <v>73</v>
      </c>
      <c r="H106" t="str">
        <f>VLOOKUP(G106,'MuleApps&lt;=&gt;MuleIntegrations'!B:C,2,FALSE)</f>
        <v>MUL-PRODUCT-FEED</v>
      </c>
      <c r="I106" t="str">
        <f>VLOOKUP(G106,'MuleApps&lt;=&gt;MuleIntegrations'!B:D,3,FALSE)</f>
        <v>Mixed</v>
      </c>
    </row>
    <row r="107" spans="1:9">
      <c r="A107" s="14">
        <v>106</v>
      </c>
      <c r="B107" s="6" t="s">
        <v>231</v>
      </c>
      <c r="C107" s="6" t="s">
        <v>445</v>
      </c>
      <c r="D107" s="6" t="s">
        <v>446</v>
      </c>
      <c r="E107" s="6" t="s">
        <v>305</v>
      </c>
      <c r="F107" s="6" t="s">
        <v>8</v>
      </c>
      <c r="G107" t="s">
        <v>73</v>
      </c>
      <c r="H107" t="str">
        <f>VLOOKUP(G107,'MuleApps&lt;=&gt;MuleIntegrations'!B:C,2,FALSE)</f>
        <v>MUL-PRODUCT-FEED</v>
      </c>
      <c r="I107" t="str">
        <f>VLOOKUP(G107,'MuleApps&lt;=&gt;MuleIntegrations'!B:D,3,FALSE)</f>
        <v>Mixed</v>
      </c>
    </row>
    <row r="108" spans="1:9">
      <c r="A108" s="14">
        <v>107</v>
      </c>
      <c r="B108" s="6" t="s">
        <v>231</v>
      </c>
      <c r="C108" s="6" t="s">
        <v>447</v>
      </c>
      <c r="D108" s="6" t="s">
        <v>448</v>
      </c>
      <c r="E108" s="6" t="s">
        <v>305</v>
      </c>
      <c r="F108" s="6" t="s">
        <v>8</v>
      </c>
      <c r="G108" t="s">
        <v>73</v>
      </c>
      <c r="H108" t="str">
        <f>VLOOKUP(G108,'MuleApps&lt;=&gt;MuleIntegrations'!B:C,2,FALSE)</f>
        <v>MUL-PRODUCT-FEED</v>
      </c>
      <c r="I108" t="str">
        <f>VLOOKUP(G108,'MuleApps&lt;=&gt;MuleIntegrations'!B:D,3,FALSE)</f>
        <v>Mixed</v>
      </c>
    </row>
    <row r="109" spans="1:9">
      <c r="A109" s="14">
        <v>108</v>
      </c>
      <c r="B109" s="6" t="s">
        <v>231</v>
      </c>
      <c r="C109" s="6" t="s">
        <v>449</v>
      </c>
      <c r="D109" s="6" t="s">
        <v>450</v>
      </c>
      <c r="E109" s="6" t="s">
        <v>305</v>
      </c>
      <c r="F109" s="6" t="s">
        <v>8</v>
      </c>
      <c r="G109" t="s">
        <v>73</v>
      </c>
      <c r="H109" t="str">
        <f>VLOOKUP(G109,'MuleApps&lt;=&gt;MuleIntegrations'!B:C,2,FALSE)</f>
        <v>MUL-PRODUCT-FEED</v>
      </c>
      <c r="I109" t="str">
        <f>VLOOKUP(G109,'MuleApps&lt;=&gt;MuleIntegrations'!B:D,3,FALSE)</f>
        <v>Mixed</v>
      </c>
    </row>
    <row r="110" spans="1:9">
      <c r="A110" s="14">
        <v>109</v>
      </c>
      <c r="B110" s="6" t="s">
        <v>231</v>
      </c>
      <c r="C110" s="6" t="s">
        <v>451</v>
      </c>
      <c r="D110" s="6" t="s">
        <v>452</v>
      </c>
      <c r="E110" s="6" t="s">
        <v>305</v>
      </c>
      <c r="F110" s="6" t="s">
        <v>8</v>
      </c>
      <c r="G110" t="s">
        <v>73</v>
      </c>
      <c r="H110" t="str">
        <f>VLOOKUP(G110,'MuleApps&lt;=&gt;MuleIntegrations'!B:C,2,FALSE)</f>
        <v>MUL-PRODUCT-FEED</v>
      </c>
      <c r="I110" t="str">
        <f>VLOOKUP(G110,'MuleApps&lt;=&gt;MuleIntegrations'!B:D,3,FALSE)</f>
        <v>Mixed</v>
      </c>
    </row>
    <row r="111" spans="1:9">
      <c r="A111" s="14">
        <v>110</v>
      </c>
      <c r="B111" s="6" t="s">
        <v>231</v>
      </c>
      <c r="C111" s="6" t="s">
        <v>453</v>
      </c>
      <c r="D111" s="6" t="s">
        <v>395</v>
      </c>
      <c r="E111" s="6" t="s">
        <v>305</v>
      </c>
      <c r="F111" s="6" t="s">
        <v>8</v>
      </c>
      <c r="G111" t="s">
        <v>73</v>
      </c>
      <c r="H111" t="str">
        <f>VLOOKUP(G111,'MuleApps&lt;=&gt;MuleIntegrations'!B:C,2,FALSE)</f>
        <v>MUL-PRODUCT-FEED</v>
      </c>
      <c r="I111" t="str">
        <f>VLOOKUP(G111,'MuleApps&lt;=&gt;MuleIntegrations'!B:D,3,FALSE)</f>
        <v>Mixed</v>
      </c>
    </row>
    <row r="112" spans="1:9">
      <c r="A112" s="14">
        <v>111</v>
      </c>
      <c r="B112" s="6" t="s">
        <v>178</v>
      </c>
      <c r="C112" s="6" t="s">
        <v>454</v>
      </c>
      <c r="D112" s="6" t="s">
        <v>399</v>
      </c>
      <c r="E112" s="6" t="s">
        <v>305</v>
      </c>
      <c r="F112" s="6" t="s">
        <v>8</v>
      </c>
      <c r="G112" t="s">
        <v>155</v>
      </c>
      <c r="H112" t="str">
        <f>VLOOKUP(G112,'MuleApps&lt;=&gt;MuleIntegrations'!B:C,2,FALSE)</f>
        <v>MUL-CONSENT</v>
      </c>
      <c r="I112" t="str">
        <f>VLOOKUP(G112,'MuleApps&lt;=&gt;MuleIntegrations'!B:D,3,FALSE)</f>
        <v>Mixed</v>
      </c>
    </row>
    <row r="113" spans="1:9">
      <c r="A113" s="14">
        <v>112</v>
      </c>
      <c r="B113" s="6" t="s">
        <v>270</v>
      </c>
      <c r="C113" s="6" t="s">
        <v>455</v>
      </c>
      <c r="D113" s="6" t="s">
        <v>456</v>
      </c>
      <c r="E113" s="6" t="s">
        <v>305</v>
      </c>
      <c r="F113" s="6" t="s">
        <v>8</v>
      </c>
      <c r="G113" t="s">
        <v>161</v>
      </c>
      <c r="H113" t="str">
        <f>VLOOKUP(G113,'MuleApps&lt;=&gt;MuleIntegrations'!B:C,2,FALSE)</f>
        <v>MUL-PRODUCT-CLASSIFICATION</v>
      </c>
      <c r="I113" t="str">
        <f>VLOOKUP(G113,'MuleApps&lt;=&gt;MuleIntegrations'!B:D,3,FALSE)</f>
        <v>API</v>
      </c>
    </row>
    <row r="114" spans="1:9">
      <c r="A114" s="14">
        <v>113</v>
      </c>
      <c r="B114" s="6" t="s">
        <v>300</v>
      </c>
      <c r="C114" s="6" t="s">
        <v>457</v>
      </c>
      <c r="D114" s="6" t="s">
        <v>458</v>
      </c>
      <c r="E114" s="6" t="s">
        <v>305</v>
      </c>
      <c r="F114" s="6" t="s">
        <v>8</v>
      </c>
      <c r="G114" t="s">
        <v>46</v>
      </c>
      <c r="H114" t="str">
        <f>VLOOKUP(G114,'MuleApps&lt;=&gt;MuleIntegrations'!B:C,2,FALSE)</f>
        <v>MUL-FLEETWAVE-ICON-COGNITO</v>
      </c>
      <c r="I114" t="str">
        <f>VLOOKUP(G114,'MuleApps&lt;=&gt;MuleIntegrations'!B:D,3,FALSE)</f>
        <v>Mixed</v>
      </c>
    </row>
    <row r="115" spans="1:9" hidden="1">
      <c r="A115" s="14">
        <v>114</v>
      </c>
      <c r="B115" s="6" t="s">
        <v>221</v>
      </c>
      <c r="C115" s="6" t="s">
        <v>459</v>
      </c>
      <c r="D115" s="6" t="s">
        <v>460</v>
      </c>
      <c r="E115" s="6" t="s">
        <v>305</v>
      </c>
      <c r="F115" s="6" t="s">
        <v>8</v>
      </c>
      <c r="G115" t="s">
        <v>70</v>
      </c>
      <c r="H115" t="str">
        <f>VLOOKUP(G115,'MuleApps&lt;=&gt;MuleIntegrations'!B:C,2,FALSE)</f>
        <v>MUL-DATALAKE</v>
      </c>
      <c r="I115" t="str">
        <f>VLOOKUP(G115,'MuleApps&lt;=&gt;MuleIntegrations'!B:D,3,FALSE)</f>
        <v>File Transfer</v>
      </c>
    </row>
    <row r="116" spans="1:9">
      <c r="A116" s="14">
        <v>115</v>
      </c>
      <c r="B116" s="6" t="s">
        <v>240</v>
      </c>
      <c r="C116" s="6" t="s">
        <v>461</v>
      </c>
      <c r="D116" s="6" t="s">
        <v>462</v>
      </c>
      <c r="E116" s="6" t="s">
        <v>305</v>
      </c>
      <c r="F116" s="6" t="s">
        <v>8</v>
      </c>
      <c r="G116" t="s">
        <v>44</v>
      </c>
      <c r="H116" t="str">
        <f>VLOOKUP(G116,'MuleApps&lt;=&gt;MuleIntegrations'!B:C,2,FALSE)</f>
        <v>MUL-FLEETWAVE-ICON-COGNITO</v>
      </c>
      <c r="I116" t="str">
        <f>VLOOKUP(G116,'MuleApps&lt;=&gt;MuleIntegrations'!B:D,3,FALSE)</f>
        <v>Mixed</v>
      </c>
    </row>
    <row r="117" spans="1:9">
      <c r="A117" s="14">
        <v>116</v>
      </c>
      <c r="B117" s="6" t="s">
        <v>240</v>
      </c>
      <c r="C117" s="6" t="s">
        <v>463</v>
      </c>
      <c r="D117" s="6" t="s">
        <v>464</v>
      </c>
      <c r="E117" s="6" t="s">
        <v>305</v>
      </c>
      <c r="F117" s="6" t="s">
        <v>8</v>
      </c>
      <c r="G117" t="s">
        <v>44</v>
      </c>
      <c r="H117" t="str">
        <f>VLOOKUP(G117,'MuleApps&lt;=&gt;MuleIntegrations'!B:C,2,FALSE)</f>
        <v>MUL-FLEETWAVE-ICON-COGNITO</v>
      </c>
      <c r="I117" t="str">
        <f>VLOOKUP(G117,'MuleApps&lt;=&gt;MuleIntegrations'!B:D,3,FALSE)</f>
        <v>Mixed</v>
      </c>
    </row>
    <row r="118" spans="1:9">
      <c r="A118" s="14">
        <v>117</v>
      </c>
      <c r="B118" s="6" t="s">
        <v>240</v>
      </c>
      <c r="C118" s="6" t="s">
        <v>465</v>
      </c>
      <c r="D118" s="6" t="s">
        <v>466</v>
      </c>
      <c r="E118" s="6" t="s">
        <v>305</v>
      </c>
      <c r="F118" s="6" t="s">
        <v>8</v>
      </c>
      <c r="G118" t="s">
        <v>44</v>
      </c>
      <c r="H118" t="str">
        <f>VLOOKUP(G118,'MuleApps&lt;=&gt;MuleIntegrations'!B:C,2,FALSE)</f>
        <v>MUL-FLEETWAVE-ICON-COGNITO</v>
      </c>
      <c r="I118" t="str">
        <f>VLOOKUP(G118,'MuleApps&lt;=&gt;MuleIntegrations'!B:D,3,FALSE)</f>
        <v>Mixed</v>
      </c>
    </row>
    <row r="119" spans="1:9" hidden="1">
      <c r="A119" s="14">
        <v>118</v>
      </c>
      <c r="B119" s="6" t="s">
        <v>242</v>
      </c>
      <c r="C119" s="6" t="s">
        <v>467</v>
      </c>
      <c r="D119" s="6" t="s">
        <v>8</v>
      </c>
      <c r="E119" s="6" t="s">
        <v>311</v>
      </c>
      <c r="F119" s="6" t="s">
        <v>8</v>
      </c>
      <c r="G119" t="s">
        <v>80</v>
      </c>
      <c r="H119" t="str">
        <f>VLOOKUP(G119,'MuleApps&lt;=&gt;MuleIntegrations'!B:C,2,FALSE)</f>
        <v>MUL-BACS-FILES</v>
      </c>
      <c r="I119" t="str">
        <f>VLOOKUP(G119,'MuleApps&lt;=&gt;MuleIntegrations'!B:D,3,FALSE)</f>
        <v>File Transfer</v>
      </c>
    </row>
    <row r="120" spans="1:9" hidden="1">
      <c r="A120" s="14">
        <v>119</v>
      </c>
      <c r="B120" s="6" t="s">
        <v>242</v>
      </c>
      <c r="C120" s="6" t="s">
        <v>468</v>
      </c>
      <c r="D120" s="6" t="s">
        <v>8</v>
      </c>
      <c r="E120" s="6" t="s">
        <v>311</v>
      </c>
      <c r="F120" s="6" t="s">
        <v>8</v>
      </c>
      <c r="G120" t="s">
        <v>80</v>
      </c>
      <c r="H120" t="str">
        <f>VLOOKUP(G120,'MuleApps&lt;=&gt;MuleIntegrations'!B:C,2,FALSE)</f>
        <v>MUL-BACS-FILES</v>
      </c>
      <c r="I120" t="str">
        <f>VLOOKUP(G120,'MuleApps&lt;=&gt;MuleIntegrations'!B:D,3,FALSE)</f>
        <v>File Transfer</v>
      </c>
    </row>
    <row r="121" spans="1:9" hidden="1">
      <c r="A121" s="14">
        <v>120</v>
      </c>
      <c r="B121" s="6" t="s">
        <v>242</v>
      </c>
      <c r="C121" s="6" t="s">
        <v>469</v>
      </c>
      <c r="D121" s="6" t="s">
        <v>8</v>
      </c>
      <c r="E121" s="6" t="s">
        <v>311</v>
      </c>
      <c r="F121" s="6" t="s">
        <v>8</v>
      </c>
      <c r="G121" t="s">
        <v>80</v>
      </c>
      <c r="H121" t="str">
        <f>VLOOKUP(G121,'MuleApps&lt;=&gt;MuleIntegrations'!B:C,2,FALSE)</f>
        <v>MUL-BACS-FILES</v>
      </c>
      <c r="I121" t="str">
        <f>VLOOKUP(G121,'MuleApps&lt;=&gt;MuleIntegrations'!B:D,3,FALSE)</f>
        <v>File Transfer</v>
      </c>
    </row>
    <row r="122" spans="1:9" hidden="1">
      <c r="A122" s="14">
        <v>121</v>
      </c>
      <c r="B122" s="6" t="s">
        <v>242</v>
      </c>
      <c r="C122" s="6" t="s">
        <v>470</v>
      </c>
      <c r="D122" s="6" t="s">
        <v>8</v>
      </c>
      <c r="E122" s="6" t="s">
        <v>311</v>
      </c>
      <c r="F122" s="6" t="s">
        <v>8</v>
      </c>
      <c r="G122" t="s">
        <v>80</v>
      </c>
      <c r="H122" t="str">
        <f>VLOOKUP(G122,'MuleApps&lt;=&gt;MuleIntegrations'!B:C,2,FALSE)</f>
        <v>MUL-BACS-FILES</v>
      </c>
      <c r="I122" t="str">
        <f>VLOOKUP(G122,'MuleApps&lt;=&gt;MuleIntegrations'!B:D,3,FALSE)</f>
        <v>File Transfer</v>
      </c>
    </row>
    <row r="123" spans="1:9">
      <c r="A123" s="14">
        <v>122</v>
      </c>
      <c r="B123" s="6" t="s">
        <v>251</v>
      </c>
      <c r="C123" s="6" t="s">
        <v>471</v>
      </c>
      <c r="D123" s="6" t="s">
        <v>472</v>
      </c>
      <c r="E123" s="6" t="s">
        <v>305</v>
      </c>
      <c r="F123" s="6" t="s">
        <v>8</v>
      </c>
      <c r="G123" t="s">
        <v>252</v>
      </c>
      <c r="H123" t="e">
        <f>VLOOKUP(G123,'MuleApps&lt;=&gt;MuleIntegrations'!B:C,2,FALSE)</f>
        <v>#N/A</v>
      </c>
      <c r="I123" t="e">
        <f>VLOOKUP(G123,'MuleApps&lt;=&gt;MuleIntegrations'!B:D,3,FALSE)</f>
        <v>#N/A</v>
      </c>
    </row>
    <row r="124" spans="1:9">
      <c r="A124" s="14">
        <v>123</v>
      </c>
      <c r="B124" s="6" t="s">
        <v>251</v>
      </c>
      <c r="C124" s="6" t="s">
        <v>473</v>
      </c>
      <c r="D124" s="6" t="s">
        <v>474</v>
      </c>
      <c r="E124" s="6" t="s">
        <v>305</v>
      </c>
      <c r="F124" s="6" t="s">
        <v>8</v>
      </c>
      <c r="G124" t="s">
        <v>252</v>
      </c>
      <c r="H124" t="e">
        <f>VLOOKUP(G124,'MuleApps&lt;=&gt;MuleIntegrations'!B:C,2,FALSE)</f>
        <v>#N/A</v>
      </c>
      <c r="I124" t="e">
        <f>VLOOKUP(G124,'MuleApps&lt;=&gt;MuleIntegrations'!B:D,3,FALSE)</f>
        <v>#N/A</v>
      </c>
    </row>
    <row r="125" spans="1:9">
      <c r="A125" s="14">
        <v>124</v>
      </c>
      <c r="B125" s="6" t="s">
        <v>251</v>
      </c>
      <c r="C125" s="6" t="s">
        <v>475</v>
      </c>
      <c r="D125" s="6" t="s">
        <v>476</v>
      </c>
      <c r="E125" s="6" t="s">
        <v>305</v>
      </c>
      <c r="F125" s="6" t="s">
        <v>8</v>
      </c>
      <c r="G125" t="s">
        <v>252</v>
      </c>
      <c r="H125" t="e">
        <f>VLOOKUP(G125,'MuleApps&lt;=&gt;MuleIntegrations'!B:C,2,FALSE)</f>
        <v>#N/A</v>
      </c>
      <c r="I125" t="e">
        <f>VLOOKUP(G125,'MuleApps&lt;=&gt;MuleIntegrations'!B:D,3,FALSE)</f>
        <v>#N/A</v>
      </c>
    </row>
    <row r="126" spans="1:9">
      <c r="A126" s="14">
        <v>125</v>
      </c>
      <c r="B126" s="6" t="s">
        <v>251</v>
      </c>
      <c r="C126" s="6" t="s">
        <v>477</v>
      </c>
      <c r="D126" s="6" t="s">
        <v>478</v>
      </c>
      <c r="E126" s="6" t="s">
        <v>305</v>
      </c>
      <c r="F126" s="6" t="s">
        <v>8</v>
      </c>
      <c r="G126" t="s">
        <v>252</v>
      </c>
      <c r="H126" t="e">
        <f>VLOOKUP(G126,'MuleApps&lt;=&gt;MuleIntegrations'!B:C,2,FALSE)</f>
        <v>#N/A</v>
      </c>
      <c r="I126" t="e">
        <f>VLOOKUP(G126,'MuleApps&lt;=&gt;MuleIntegrations'!B:D,3,FALSE)</f>
        <v>#N/A</v>
      </c>
    </row>
  </sheetData>
  <autoFilter ref="A1:I126" xr:uid="{FC4C9FA5-332E-46FE-851C-410AD732360B}">
    <filterColumn colId="4">
      <filters>
        <filter val="Enabled"/>
      </filters>
    </filterColumn>
    <filterColumn colId="8">
      <filters>
        <filter val="#N/A"/>
        <filter val="API"/>
        <filter val="Mixed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BBB32A6C03846A87383C106179D93" ma:contentTypeVersion="17" ma:contentTypeDescription="Create a new document." ma:contentTypeScope="" ma:versionID="51442573b78b6a9aab2147e3f767de7c">
  <xsd:schema xmlns:xsd="http://www.w3.org/2001/XMLSchema" xmlns:xs="http://www.w3.org/2001/XMLSchema" xmlns:p="http://schemas.microsoft.com/office/2006/metadata/properties" xmlns:ns2="94ecc37b-2672-4d49-97c5-76c18b483231" xmlns:ns3="21267d27-aae1-4857-8624-8b12d82e3eb2" targetNamespace="http://schemas.microsoft.com/office/2006/metadata/properties" ma:root="true" ma:fieldsID="f2e578674d9c1648a55425ef5f4eaf31" ns2:_="" ns3:_="">
    <xsd:import namespace="94ecc37b-2672-4d49-97c5-76c18b483231"/>
    <xsd:import namespace="21267d27-aae1-4857-8624-8b12d82e3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fecycleStage" minOccurs="0"/>
                <xsd:element ref="ns2:ContentResponsible" minOccurs="0"/>
                <xsd:element ref="ns2:DocumentType" minOccurs="0"/>
                <xsd:element ref="ns2:Confidential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cc37b-2672-4d49-97c5-76c18b48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4884b07-8f54-4bf7-b693-7f499cf0a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fecycleStage" ma:index="20" nillable="true" ma:displayName="Lifecycle Stage" ma:default="In Review" ma:description="Values: Draft; In Review; Approved; Baseline; Superseded; Obsolete" ma:format="Dropdown" ma:internalName="LifecycleStage">
      <xsd:simpleType>
        <xsd:restriction base="dms:Text">
          <xsd:maxLength value="255"/>
        </xsd:restriction>
      </xsd:simpleType>
    </xsd:element>
    <xsd:element name="ContentResponsible" ma:index="21" nillable="true" ma:displayName="Content Responsible " ma:description="Governance owner accountable for keeping the item accurate and current." ma:format="Dropdown" ma:list="UserInfo" ma:SharePointGroup="0" ma:internalName="Content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Type" ma:index="22" nillable="true" ma:displayName="Document Type" ma:description="Top‑level content type for filtering and roll‑ups.&#10;&#10;&#10;&#10;&#10;" ma:format="Dropdown" ma:internalName="DocumentType">
      <xsd:simpleType>
        <xsd:restriction base="dms:Text">
          <xsd:maxLength value="255"/>
        </xsd:restriction>
      </xsd:simpleType>
    </xsd:element>
    <xsd:element name="Confidentiality" ma:index="23" nillable="true" ma:displayName="Confidentiality " ma:description="Protects data consistently.&#10;BU UK, Cross BU, External, Targeted" ma:format="Dropdown" ma:internalName="Confidentialit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67d27-aae1-4857-8624-8b12d82e3e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a181561-19cd-4859-b018-48d9f2469274}" ma:internalName="TaxCatchAll" ma:showField="CatchAllData" ma:web="21267d27-aae1-4857-8624-8b12d82e3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267d27-aae1-4857-8624-8b12d82e3eb2" xsi:nil="true"/>
    <lcf76f155ced4ddcb4097134ff3c332f xmlns="94ecc37b-2672-4d49-97c5-76c18b483231">
      <Terms xmlns="http://schemas.microsoft.com/office/infopath/2007/PartnerControls"/>
    </lcf76f155ced4ddcb4097134ff3c332f>
    <ContentResponsible xmlns="94ecc37b-2672-4d49-97c5-76c18b483231">
      <UserInfo>
        <DisplayName/>
        <AccountId xsi:nil="true"/>
        <AccountType/>
      </UserInfo>
    </ContentResponsible>
    <Confidentiality xmlns="94ecc37b-2672-4d49-97c5-76c18b483231" xsi:nil="true"/>
    <LifecycleStage xmlns="94ecc37b-2672-4d49-97c5-76c18b483231">In Review</LifecycleStage>
    <DocumentType xmlns="94ecc37b-2672-4d49-97c5-76c18b4832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B8A19-B13A-48A1-B22A-00312AA8F0EC}"/>
</file>

<file path=customXml/itemProps2.xml><?xml version="1.0" encoding="utf-8"?>
<ds:datastoreItem xmlns:ds="http://schemas.openxmlformats.org/officeDocument/2006/customXml" ds:itemID="{1CB22C7E-BFF2-433E-BF05-A63A54BF331F}"/>
</file>

<file path=customXml/itemProps3.xml><?xml version="1.0" encoding="utf-8"?>
<ds:datastoreItem xmlns:ds="http://schemas.openxmlformats.org/officeDocument/2006/customXml" ds:itemID="{6730E376-501D-4EC7-BEB0-3F3BCC3AD42B}"/>
</file>

<file path=docMetadata/LabelInfo.xml><?xml version="1.0" encoding="utf-8"?>
<clbl:labelList xmlns:clbl="http://schemas.microsoft.com/office/2020/mipLabelMetadata">
  <clbl:label id="{585384b6-0d0c-4979-9c8e-ca4fe36cbc80}" enabled="1" method="Standard" siteId="{2e114308-14ec-4d77-b610-490324fa18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Makade, Pankaj (Cognizant)</dc:creator>
  <cp:keywords/>
  <dc:description/>
  <cp:lastModifiedBy/>
  <cp:revision/>
  <dcterms:created xsi:type="dcterms:W3CDTF">2026-09-22T06:11:48Z</dcterms:created>
  <dcterms:modified xsi:type="dcterms:W3CDTF">2026-09-29T13:23:30Z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0x010100D2ABBB32A6C03846A87383C106179D93</vt:lpwstr>
  </property>
  <property fmtid="{D5CDD505-2E9C-101B-9397-08002B2CF9AE}" pid="3" name="MediaServiceImageTags">
    <vt:lpwstr/>
  </property>
</Properties>
</file>